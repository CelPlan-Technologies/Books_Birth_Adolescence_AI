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Long Context vs RAG" sheetId="2" state="visible" r:id="rId4"/>
    <sheet name="Chunking" sheetId="3" state="visible" r:id="rId5"/>
    <sheet name="Context Budget" sheetId="4" state="visible" r:id="rId6"/>
    <sheet name="Accuracy Chain" sheetId="5" state="visible" r:id="rId7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<sst xmlns="http://schemas.openxmlformats.org/spreadsheetml/2006/main" count="182" uniqueCount="129">
  <si>
    <t xml:space="preserve">Chapter 17 — RAG Fundamentals</t>
  </si>
  <si>
    <t xml:space="preserve">Companion workbook of The Birth and Adolescence of Artificial Intelligence, Volume 2, by Leonhard Korowajczuk. Blue cells on a light yellow background are inputs: change them and every result recalculates.</t>
  </si>
  <si>
    <t xml:space="preserve">Sheet</t>
  </si>
  <si>
    <t xml:space="preserve">What it computes</t>
  </si>
  <si>
    <t xml:space="preserve">Book reference</t>
  </si>
  <si>
    <t xml:space="preserve">Long Context vs RAG</t>
  </si>
  <si>
    <t xml:space="preserve">Input cost per question and per year, KV cache and prefill time for a million-token corpus in the context against a 5,000-token RAG prompt.</t>
  </si>
  <si>
    <t xml:space="preserve">Section 17.2, Worked Example 17.1</t>
  </si>
  <si>
    <t xml:space="preserve">Chunking</t>
  </si>
  <si>
    <t xml:space="preserve">Chunks, vector and text storage, and embedding compute for a corporate corpus.</t>
  </si>
  <si>
    <t xml:space="preserve">Section 17.5, Worked Example 17.2</t>
  </si>
  <si>
    <t xml:space="preserve">Context Budget</t>
  </si>
  <si>
    <t xml:space="preserve">Tokens left for passages in a fixed context window, passages that fit, and the KV cache.</t>
  </si>
  <si>
    <t xml:space="preserve">Section 17.6, Worked Example 17.3</t>
  </si>
  <si>
    <t xml:space="preserve">Accuracy Chain</t>
  </si>
  <si>
    <t xml:space="preserve">Answer accuracy from retrieval recall and generator accuracy: A ≈ R × G + (1 − R) × F.</t>
  </si>
  <si>
    <t xml:space="preserve">Section 17.7, Worked Example 17.4</t>
  </si>
  <si>
    <t xml:space="preserve">Notes</t>
  </si>
  <si>
    <t xml:space="preserve">Units are decimal (1 GB = 10^9 bytes). Prices in US$ as of October 2026; the $2 per million input tokens is the assumed middle tier of Table 27.3.</t>
  </si>
  <si>
    <t xml:space="preserve">Rows labeled "Value in the book" show the number printed in the worked example, for comparison.</t>
  </si>
  <si>
    <t xml:space="preserve">Accuracy figures in Accuracy Chain are illustrative, as in the book; replace them with measurements (Section 21.7).</t>
  </si>
  <si>
    <t xml:space="preserve">A 2,000-Page Manual Set: Long Context or RAG? (Worked Example 17.1)</t>
  </si>
  <si>
    <t xml:space="preserve">Questions per day</t>
  </si>
  <si>
    <t xml:space="preserve">Working days per year</t>
  </si>
  <si>
    <t xml:space="preserve">Pages in the manual set</t>
  </si>
  <si>
    <t xml:space="preserve">Tokens per page</t>
  </si>
  <si>
    <t xml:space="preserve">Input price (US$ per million tokens; assumed, Table 27.3)</t>
  </si>
  <si>
    <t xml:space="preserve">Cached-prefix billing (share of the full price)</t>
  </si>
  <si>
    <t xml:space="preserve">Passages per RAG prompt</t>
  </si>
  <si>
    <t xml:space="preserve">Tokens per passage</t>
  </si>
  <si>
    <t xml:space="preserve">RAG prompt, passages plus instructions and question (tokens)</t>
  </si>
  <si>
    <t xml:space="preserve">Model parameters, Llama 3.1 8B (billions)</t>
  </si>
  <si>
    <t xml:space="preserve">KV-cache bytes per token, BF16 (Section 13.2)</t>
  </si>
  <si>
    <t xml:space="preserve">Layers L</t>
  </si>
  <si>
    <t xml:space="preserve">Model dimension d</t>
  </si>
  <si>
    <t xml:space="preserve">Effective compute (TFLOP/s)</t>
  </si>
  <si>
    <t xml:space="preserve">GPU memory (GB)</t>
  </si>
  <si>
    <t xml:space="preserve">Model context window (tokens)</t>
  </si>
  <si>
    <t xml:space="preserve">Result</t>
  </si>
  <si>
    <t xml:space="preserve">Workbook</t>
  </si>
  <si>
    <t xml:space="preserve">Corpus (tokens)</t>
  </si>
  <si>
    <t xml:space="preserve">Value in the book</t>
  </si>
  <si>
    <t xml:space="preserve">Passage tokens in the RAG prompt</t>
  </si>
  <si>
    <t xml:space="preserve">Long context: input cost per question (US$)</t>
  </si>
  <si>
    <t xml:space="preserve">Long context with prompt caching (US$ per question)</t>
  </si>
  <si>
    <t xml:space="preserve">RAG: input cost per question (US$)</t>
  </si>
  <si>
    <t xml:space="preserve">Long context ÷ RAG, uncached</t>
  </si>
  <si>
    <t xml:space="preserve">Long context ÷ RAG, cached</t>
  </si>
  <si>
    <t xml:space="preserve">Questions per year</t>
  </si>
  <si>
    <t xml:space="preserve">Per year, long context (US$)</t>
  </si>
  <si>
    <t xml:space="preserve">Per year, long context cached (US$)</t>
  </si>
  <si>
    <t xml:space="preserve">Per year, RAG (US$)</t>
  </si>
  <si>
    <t xml:space="preserve">KV cache for the whole corpus (GB)</t>
  </si>
  <si>
    <t xml:space="preserve">Fits on the GPU?</t>
  </si>
  <si>
    <t xml:space="preserve">Within the model's window?</t>
  </si>
  <si>
    <t xml:space="preserve">KV cache for the RAG prompt (GB)</t>
  </si>
  <si>
    <t xml:space="preserve">Prefill FLOPs, weights, whole corpus (2 × P × n)</t>
  </si>
  <si>
    <t xml:space="preserve">Prefill time, weights only (s)</t>
  </si>
  <si>
    <t xml:space="preserve">Prefill FLOPs, attention (2 × L × n² × d, Section 4.7)</t>
  </si>
  <si>
    <t xml:space="preserve">Attention ÷ weights</t>
  </si>
  <si>
    <t xml:space="preserve">Prefill time, whole corpus (hours)</t>
  </si>
  <si>
    <t xml:space="preserve">Prefill time, RAG prompt (s)</t>
  </si>
  <si>
    <t xml:space="preserve">Prefill time to fill the model's window (minutes; Section 17.2 text)</t>
  </si>
  <si>
    <t xml:space="preserve">Reading: long context suits one long document analyzed in depth; for many questions over a large collection RAG costs 20 to 200 times less, and corpora larger than the window leave no choice.</t>
  </si>
  <si>
    <t xml:space="preserve">Costs exclude cache-write charges (Table 22.2) and long-context surcharges (Table 27.3), which only widen the gap. The window row reproduces the "about two minutes" of the paragraph before the example.</t>
  </si>
  <si>
    <t xml:space="preserve">From a Corporate Corpus to an Index (Worked Example 17.2)</t>
  </si>
  <si>
    <t xml:space="preserve">Documents</t>
  </si>
  <si>
    <t xml:space="preserve">Pages per document (average)</t>
  </si>
  <si>
    <t xml:space="preserve">Chunk size (tokens)</t>
  </si>
  <si>
    <t xml:space="preserve">Overlap (tokens)</t>
  </si>
  <si>
    <t xml:space="preserve">Embedding dimensions</t>
  </si>
  <si>
    <t xml:space="preserve">Bytes per dimension, FP32</t>
  </si>
  <si>
    <t xml:space="preserve">Bytes per dimension, int8 (Section 18.8)</t>
  </si>
  <si>
    <t xml:space="preserve">Characters per token</t>
  </si>
  <si>
    <t xml:space="preserve">Embedding model parameters (billions)</t>
  </si>
  <si>
    <t xml:space="preserve">Effective compute, one workstation GPU (TFLOP/s)</t>
  </si>
  <si>
    <t xml:space="preserve">Tokens to re-embed overnight (Reading line)</t>
  </si>
  <si>
    <t xml:space="preserve">Stride: chunk size − overlap (tokens)</t>
  </si>
  <si>
    <t xml:space="preserve">Chunks</t>
  </si>
  <si>
    <t xml:space="preserve">Vectors, FP32 (GB)</t>
  </si>
  <si>
    <t xml:space="preserve">Vectors, int8 (GB)</t>
  </si>
  <si>
    <t xml:space="preserve">Chunk text (GB)</t>
  </si>
  <si>
    <t xml:space="preserve">Tokens embedded, including overlap (millions)</t>
  </si>
  <si>
    <t xml:space="preserve">FLOPs per token (2 × parameters, GFLOP)</t>
  </si>
  <si>
    <t xml:space="preserve">Embedding FLOPs, whole corpus</t>
  </si>
  <si>
    <t xml:space="preserve">Embedding time on one GPU (hours)</t>
  </si>
  <si>
    <t xml:space="preserve">Time to embed the overnight token count (hours)</t>
  </si>
  <si>
    <t xml:space="preserve">Reading: a substantial corporate corpus fits in the memory of one server, and one GPU re-embeds about a billion tokens overnight; index structures add to the vector storage (Section 20.1).</t>
  </si>
  <si>
    <t xml:space="preserve">Chunks = tokens ÷ stride, as in the book; the shorter last chunk of each document is not counted separately.</t>
  </si>
  <si>
    <t xml:space="preserve">A Context Budget on the Box (Worked Example 17.3)</t>
  </si>
  <si>
    <t xml:space="preserve">Context window (tokens; Ollama setting, Section 16.2)</t>
  </si>
  <si>
    <t xml:space="preserve">System instructions (tokens)</t>
  </si>
  <si>
    <t xml:space="preserve">Conversation summary (tokens)</t>
  </si>
  <si>
    <t xml:space="preserve">Question (tokens)</t>
  </si>
  <si>
    <t xml:space="preserve">Reserve for the answer (tokens)</t>
  </si>
  <si>
    <t xml:space="preserve">Source label per passage (tokens)</t>
  </si>
  <si>
    <t xml:space="preserve">Passages chosen, k</t>
  </si>
  <si>
    <t xml:space="preserve">KV-cache bytes per token, Llama 3.1 8B BF16 (Section 13.2)</t>
  </si>
  <si>
    <t xml:space="preserve">Larger context for comparison (tokens)</t>
  </si>
  <si>
    <t xml:space="preserve">q8_0 cache size relative to BF16</t>
  </si>
  <si>
    <t xml:space="preserve">Fixed parts (tokens)</t>
  </si>
  <si>
    <t xml:space="preserve">Available for passages (tokens)</t>
  </si>
  <si>
    <t xml:space="preserve">Tokens per passage, with label</t>
  </si>
  <si>
    <t xml:space="preserve">Passages that fit (exact)</t>
  </si>
  <si>
    <t xml:space="preserve">Maximum passages</t>
  </si>
  <si>
    <t xml:space="preserve">k within the maximum?</t>
  </si>
  <si>
    <t xml:space="preserve">Passage tokens at k</t>
  </si>
  <si>
    <t xml:space="preserve">Prompt tokens at k</t>
  </si>
  <si>
    <t xml:space="preserve">Prompt plus answer reserve (tokens)</t>
  </si>
  <si>
    <t xml:space="preserve">KV cache for the full context (GB)</t>
  </si>
  <si>
    <t xml:space="preserve">Larger context: maximum passages</t>
  </si>
  <si>
    <t xml:space="preserve">Larger context: KV cache (GB)</t>
  </si>
  <si>
    <t xml:space="preserve">Larger context: KV cache with q8_0 (GB)</t>
  </si>
  <si>
    <t xml:space="preserve">Reading: more passages help only if retrieval ranks them well; retrieve 30–50 candidates and rerank to the best 5–10 (Section 20.4) rather than passing 50 to the model.</t>
  </si>
  <si>
    <t xml:space="preserve">The reference Box of Chapter 32 runs gpt-oss-20b at 32,768 tokens with a q8_0 cache (Listing 32.1); the method is the same.</t>
  </si>
  <si>
    <t xml:space="preserve">Retrieval Caps Answer Quality (Worked Example 17.4)</t>
  </si>
  <si>
    <t xml:space="preserve">Scenario</t>
  </si>
  <si>
    <t xml:space="preserve">Baseline: vector search</t>
  </si>
  <si>
    <t xml:space="preserve">Better generator</t>
  </si>
  <si>
    <t xml:space="preserve">Better retrieval</t>
  </si>
  <si>
    <t xml:space="preserve">Recall@k, R (answer passage in the prompt)</t>
  </si>
  <si>
    <t xml:space="preserve">Correct when the passage is present, G</t>
  </si>
  <si>
    <t xml:space="preserve">Correct when it is absent, F</t>
  </si>
  <si>
    <t xml:space="preserve">R × G</t>
  </si>
  <si>
    <t xml:space="preserve">(1 − R) × F</t>
  </si>
  <si>
    <t xml:space="preserve">Accuracy A ≈ R × G + (1 − R) × F</t>
  </si>
  <si>
    <t xml:space="preserve">Gain over the baseline (percentage points)</t>
  </si>
  <si>
    <t xml:space="preserve">Reading: raising recall from 0.78 to 0.93 gains 12 points; a better model gains 3. Measure R separately (Section 21.7) before buying a larger generator.</t>
  </si>
  <si>
    <t xml:space="preserve">Illustrative figures for a technical-support assistant, as in the book.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</si>
</sst>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"/>
    <numFmt numFmtId="167" formatCode="0%"/>
    <numFmt numFmtId="168" formatCode="0"/>
    <numFmt numFmtId="169" formatCode="0.0"/>
    <numFmt numFmtId="170" formatCode="0.000"/>
    <numFmt numFmtId="171" formatCode="0.0E+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A641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8A64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EFDD"/>
        <bgColor rgb="FFFFF9E6"/>
      </patternFill>
    </fill>
    <fill>
      <patternFill patternType="solid">
        <fgColor rgb="FFFFF9E6"/>
        <bgColor rgb="FFF7EF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410"/>
      <rgbColor rgb="FF800080"/>
      <rgbColor rgb="FF008080"/>
      <rgbColor rgb="FFBFBFBF"/>
      <rgbColor rgb="FF808080"/>
      <rgbColor rgb="FF9999FF"/>
      <rgbColor rgb="FF993366"/>
      <rgbColor rgb="FFF7EF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5.75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30" hidden="false" customHeight="true" outlineLevel="0" collapsed="false">
      <c r="A5" s="4" t="s">
        <v>5</v>
      </c>
      <c r="B5" s="5" t="s">
        <v>6</v>
      </c>
      <c r="C5" s="5" t="s">
        <v>7</v>
      </c>
    </row>
    <row r="6" customFormat="false" ht="30" hidden="false" customHeight="true" outlineLevel="0" collapsed="false">
      <c r="A6" s="4" t="s">
        <v>8</v>
      </c>
      <c r="B6" s="5" t="s">
        <v>9</v>
      </c>
      <c r="C6" s="5" t="s">
        <v>10</v>
      </c>
    </row>
    <row r="7" customFormat="false" ht="30" hidden="false" customHeight="true" outlineLevel="0" collapsed="false">
      <c r="A7" s="4" t="s">
        <v>11</v>
      </c>
      <c r="B7" s="5" t="s">
        <v>12</v>
      </c>
      <c r="C7" s="5" t="s">
        <v>13</v>
      </c>
    </row>
    <row r="8" customFormat="false" ht="30" hidden="false" customHeight="true" outlineLevel="0" collapsed="false">
      <c r="A8" s="4" t="s">
        <v>14</v>
      </c>
      <c r="B8" s="5" t="s">
        <v>15</v>
      </c>
      <c r="C8" s="5" t="s">
        <v>16</v>
      </c>
    </row>
    <row r="10" customFormat="false" ht="15" hidden="false" customHeight="false" outlineLevel="0" collapsed="false">
      <c r="A10" s="4" t="s">
        <v>17</v>
      </c>
    </row>
    <row r="11" customFormat="false" ht="30" hidden="false" customHeight="true" outlineLevel="0" collapsed="false">
      <c r="A11" s="6" t="s">
        <v>18</v>
      </c>
      <c r="B11" s="6"/>
      <c r="C11" s="6"/>
    </row>
    <row r="12" customFormat="false" ht="15" hidden="false" customHeight="true" outlineLevel="0" collapsed="false">
      <c r="A12" s="6" t="s">
        <v>19</v>
      </c>
      <c r="B12" s="6"/>
      <c r="C12" s="6"/>
    </row>
    <row r="13" customFormat="false" ht="15" hidden="false" customHeight="true" outlineLevel="0" collapsed="false">
      <c r="A13" s="6" t="s">
        <v>20</v>
      </c>
      <c r="B13" s="6"/>
      <c r="C13" s="6"/>
    </row>
  </sheetData>
  <mergeCells count="4">
    <mergeCell ref="A2:C2"/>
    <mergeCell ref="A11:C11"/>
    <mergeCell ref="A12:C12"/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5.75" hidden="false" customHeight="true" outlineLevel="0" collapsed="false">
      <c r="A1" s="7" t="s">
        <v>21</v>
      </c>
    </row>
    <row r="3" customFormat="false" ht="15" hidden="false" customHeight="true" outlineLevel="0" collapsed="false">
      <c r="A3" s="8" t="s">
        <v>22</v>
      </c>
      <c r="B3" s="9" t="n">
        <v>200</v>
      </c>
    </row>
    <row r="4" customFormat="false" ht="15" hidden="false" customHeight="true" outlineLevel="0" collapsed="false">
      <c r="A4" s="8" t="s">
        <v>23</v>
      </c>
      <c r="B4" s="9" t="n">
        <v>250</v>
      </c>
    </row>
    <row r="5" customFormat="false" ht="15" hidden="false" customHeight="true" outlineLevel="0" collapsed="false">
      <c r="A5" s="8" t="s">
        <v>24</v>
      </c>
      <c r="B5" s="9" t="n">
        <v>2000</v>
      </c>
    </row>
    <row r="6" customFormat="false" ht="15" hidden="false" customHeight="true" outlineLevel="0" collapsed="false">
      <c r="A6" s="8" t="s">
        <v>25</v>
      </c>
      <c r="B6" s="9" t="n">
        <v>500</v>
      </c>
    </row>
    <row r="7" customFormat="false" ht="15" hidden="false" customHeight="true" outlineLevel="0" collapsed="false">
      <c r="A7" s="8" t="s">
        <v>26</v>
      </c>
      <c r="B7" s="10" t="n">
        <v>2</v>
      </c>
    </row>
    <row r="8" customFormat="false" ht="15" hidden="false" customHeight="true" outlineLevel="0" collapsed="false">
      <c r="A8" s="8" t="s">
        <v>27</v>
      </c>
      <c r="B8" s="11" t="n">
        <v>0.1</v>
      </c>
    </row>
    <row r="9" customFormat="false" ht="15" hidden="false" customHeight="true" outlineLevel="0" collapsed="false">
      <c r="A9" s="8" t="s">
        <v>28</v>
      </c>
      <c r="B9" s="12" t="n">
        <v>8</v>
      </c>
    </row>
    <row r="10" customFormat="false" ht="15" hidden="false" customHeight="true" outlineLevel="0" collapsed="false">
      <c r="A10" s="8" t="s">
        <v>29</v>
      </c>
      <c r="B10" s="9" t="n">
        <v>512</v>
      </c>
    </row>
    <row r="11" customFormat="false" ht="15" hidden="false" customHeight="true" outlineLevel="0" collapsed="false">
      <c r="A11" s="8" t="s">
        <v>30</v>
      </c>
      <c r="B11" s="9" t="n">
        <v>5000</v>
      </c>
    </row>
    <row r="12" customFormat="false" ht="15" hidden="false" customHeight="true" outlineLevel="0" collapsed="false">
      <c r="A12" s="8" t="s">
        <v>31</v>
      </c>
      <c r="B12" s="13" t="n">
        <v>8</v>
      </c>
    </row>
    <row r="13" customFormat="false" ht="15" hidden="false" customHeight="true" outlineLevel="0" collapsed="false">
      <c r="A13" s="8" t="s">
        <v>32</v>
      </c>
      <c r="B13" s="9" t="n">
        <v>131072</v>
      </c>
    </row>
    <row r="14" customFormat="false" ht="15" hidden="false" customHeight="true" outlineLevel="0" collapsed="false">
      <c r="A14" s="8" t="s">
        <v>33</v>
      </c>
      <c r="B14" s="12" t="n">
        <v>32</v>
      </c>
    </row>
    <row r="15" customFormat="false" ht="15" hidden="false" customHeight="true" outlineLevel="0" collapsed="false">
      <c r="A15" s="8" t="s">
        <v>34</v>
      </c>
      <c r="B15" s="9" t="n">
        <v>4096</v>
      </c>
    </row>
    <row r="16" customFormat="false" ht="15" hidden="false" customHeight="true" outlineLevel="0" collapsed="false">
      <c r="A16" s="8" t="s">
        <v>35</v>
      </c>
      <c r="B16" s="12" t="n">
        <v>50</v>
      </c>
    </row>
    <row r="17" customFormat="false" ht="15" hidden="false" customHeight="true" outlineLevel="0" collapsed="false">
      <c r="A17" s="8" t="s">
        <v>36</v>
      </c>
      <c r="B17" s="12" t="n">
        <v>24</v>
      </c>
    </row>
    <row r="18" customFormat="false" ht="15" hidden="false" customHeight="true" outlineLevel="0" collapsed="false">
      <c r="A18" s="8" t="s">
        <v>37</v>
      </c>
      <c r="B18" s="9" t="n">
        <v>131072</v>
      </c>
    </row>
    <row r="20" customFormat="false" ht="15" hidden="false" customHeight="true" outlineLevel="0" collapsed="false">
      <c r="A20" s="14" t="s">
        <v>38</v>
      </c>
      <c r="B20" s="14" t="s">
        <v>39</v>
      </c>
    </row>
    <row r="21" customFormat="false" ht="15" hidden="false" customHeight="true" outlineLevel="0" collapsed="false">
      <c r="A21" s="15" t="s">
        <v>40</v>
      </c>
      <c r="B21" s="16" t="n">
        <f aca="false">B5*B6</f>
        <v>1000000</v>
      </c>
    </row>
    <row r="22" customFormat="false" ht="15" hidden="false" customHeight="true" outlineLevel="0" collapsed="false">
      <c r="A22" s="17" t="s">
        <v>41</v>
      </c>
      <c r="B22" s="18" t="n">
        <v>1000000</v>
      </c>
    </row>
    <row r="23" customFormat="false" ht="15" hidden="false" customHeight="true" outlineLevel="0" collapsed="false">
      <c r="A23" s="15" t="s">
        <v>42</v>
      </c>
      <c r="B23" s="16" t="n">
        <f aca="false">B9*B10</f>
        <v>4096</v>
      </c>
    </row>
    <row r="24" customFormat="false" ht="15" hidden="false" customHeight="true" outlineLevel="0" collapsed="false">
      <c r="A24" s="15" t="s">
        <v>43</v>
      </c>
      <c r="B24" s="19" t="n">
        <f aca="false">B21*B7/1000000</f>
        <v>2</v>
      </c>
    </row>
    <row r="25" customFormat="false" ht="15" hidden="false" customHeight="true" outlineLevel="0" collapsed="false">
      <c r="A25" s="17" t="s">
        <v>41</v>
      </c>
      <c r="B25" s="20" t="n">
        <v>2</v>
      </c>
    </row>
    <row r="26" customFormat="false" ht="15" hidden="false" customHeight="true" outlineLevel="0" collapsed="false">
      <c r="A26" s="15" t="s">
        <v>44</v>
      </c>
      <c r="B26" s="19" t="n">
        <f aca="false">B24*B8</f>
        <v>0.2</v>
      </c>
    </row>
    <row r="27" customFormat="false" ht="15" hidden="false" customHeight="true" outlineLevel="0" collapsed="false">
      <c r="A27" s="17" t="s">
        <v>41</v>
      </c>
      <c r="B27" s="20" t="n">
        <v>0.2</v>
      </c>
    </row>
    <row r="28" customFormat="false" ht="15" hidden="false" customHeight="true" outlineLevel="0" collapsed="false">
      <c r="A28" s="15" t="s">
        <v>45</v>
      </c>
      <c r="B28" s="21" t="n">
        <f aca="false">B11*B7/1000000</f>
        <v>0.01</v>
      </c>
    </row>
    <row r="29" customFormat="false" ht="15" hidden="false" customHeight="true" outlineLevel="0" collapsed="false">
      <c r="A29" s="17" t="s">
        <v>41</v>
      </c>
      <c r="B29" s="22" t="n">
        <v>0.01</v>
      </c>
    </row>
    <row r="30" customFormat="false" ht="15" hidden="false" customHeight="true" outlineLevel="0" collapsed="false">
      <c r="A30" s="15" t="s">
        <v>46</v>
      </c>
      <c r="B30" s="16" t="n">
        <f aca="false">B24/B28</f>
        <v>200</v>
      </c>
    </row>
    <row r="31" customFormat="false" ht="15" hidden="false" customHeight="true" outlineLevel="0" collapsed="false">
      <c r="A31" s="17" t="s">
        <v>41</v>
      </c>
      <c r="B31" s="18" t="n">
        <v>200</v>
      </c>
    </row>
    <row r="32" customFormat="false" ht="15" hidden="false" customHeight="true" outlineLevel="0" collapsed="false">
      <c r="A32" s="15" t="s">
        <v>47</v>
      </c>
      <c r="B32" s="16" t="n">
        <f aca="false">B26/B28</f>
        <v>20</v>
      </c>
    </row>
    <row r="33" customFormat="false" ht="15" hidden="false" customHeight="true" outlineLevel="0" collapsed="false">
      <c r="A33" s="17" t="s">
        <v>41</v>
      </c>
      <c r="B33" s="18" t="n">
        <v>20</v>
      </c>
    </row>
    <row r="34" customFormat="false" ht="15" hidden="false" customHeight="true" outlineLevel="0" collapsed="false">
      <c r="A34" s="15" t="s">
        <v>48</v>
      </c>
      <c r="B34" s="16" t="n">
        <f aca="false">B3*B4</f>
        <v>50000</v>
      </c>
    </row>
    <row r="35" customFormat="false" ht="15" hidden="false" customHeight="true" outlineLevel="0" collapsed="false">
      <c r="A35" s="17" t="s">
        <v>41</v>
      </c>
      <c r="B35" s="18" t="n">
        <v>50000</v>
      </c>
    </row>
    <row r="36" customFormat="false" ht="15" hidden="false" customHeight="true" outlineLevel="0" collapsed="false">
      <c r="A36" s="15" t="s">
        <v>49</v>
      </c>
      <c r="B36" s="16" t="n">
        <f aca="false">B24*B34</f>
        <v>100000</v>
      </c>
    </row>
    <row r="37" customFormat="false" ht="15" hidden="false" customHeight="true" outlineLevel="0" collapsed="false">
      <c r="A37" s="17" t="s">
        <v>41</v>
      </c>
      <c r="B37" s="18" t="n">
        <v>100000</v>
      </c>
    </row>
    <row r="38" customFormat="false" ht="15" hidden="false" customHeight="true" outlineLevel="0" collapsed="false">
      <c r="A38" s="15" t="s">
        <v>50</v>
      </c>
      <c r="B38" s="16" t="n">
        <f aca="false">B26*B34</f>
        <v>10000</v>
      </c>
    </row>
    <row r="39" customFormat="false" ht="15" hidden="false" customHeight="true" outlineLevel="0" collapsed="false">
      <c r="A39" s="17" t="s">
        <v>41</v>
      </c>
      <c r="B39" s="18" t="n">
        <v>10000</v>
      </c>
    </row>
    <row r="40" customFormat="false" ht="15" hidden="false" customHeight="true" outlineLevel="0" collapsed="false">
      <c r="A40" s="15" t="s">
        <v>51</v>
      </c>
      <c r="B40" s="16" t="n">
        <f aca="false">B28*B34</f>
        <v>500</v>
      </c>
    </row>
    <row r="41" customFormat="false" ht="15" hidden="false" customHeight="true" outlineLevel="0" collapsed="false">
      <c r="A41" s="17" t="s">
        <v>41</v>
      </c>
      <c r="B41" s="18" t="n">
        <v>500</v>
      </c>
    </row>
    <row r="42" customFormat="false" ht="15" hidden="false" customHeight="true" outlineLevel="0" collapsed="false">
      <c r="A42" s="15" t="s">
        <v>52</v>
      </c>
      <c r="B42" s="16" t="n">
        <f aca="false">B21*B13/1000000000</f>
        <v>131.072</v>
      </c>
    </row>
    <row r="43" customFormat="false" ht="15" hidden="false" customHeight="true" outlineLevel="0" collapsed="false">
      <c r="A43" s="17" t="s">
        <v>41</v>
      </c>
      <c r="B43" s="18" t="n">
        <v>131</v>
      </c>
    </row>
    <row r="44" customFormat="false" ht="15" hidden="false" customHeight="true" outlineLevel="0" collapsed="false">
      <c r="A44" s="15" t="s">
        <v>53</v>
      </c>
      <c r="B44" s="15" t="str">
        <f aca="false">IF(B42&lt;=B17,"yes","no")</f>
        <v>no</v>
      </c>
    </row>
    <row r="45" customFormat="false" ht="15" hidden="false" customHeight="true" outlineLevel="0" collapsed="false">
      <c r="A45" s="15" t="s">
        <v>54</v>
      </c>
      <c r="B45" s="15" t="str">
        <f aca="false">IF(B21&lt;=B18,"yes","no")</f>
        <v>no</v>
      </c>
    </row>
    <row r="46" customFormat="false" ht="15" hidden="false" customHeight="true" outlineLevel="0" collapsed="false">
      <c r="A46" s="15" t="s">
        <v>55</v>
      </c>
      <c r="B46" s="19" t="n">
        <f aca="false">B11*B13/1000000000</f>
        <v>0.65536</v>
      </c>
    </row>
    <row r="47" customFormat="false" ht="15" hidden="false" customHeight="true" outlineLevel="0" collapsed="false">
      <c r="A47" s="17" t="s">
        <v>41</v>
      </c>
      <c r="B47" s="20" t="n">
        <v>0.66</v>
      </c>
    </row>
    <row r="48" customFormat="false" ht="15" hidden="false" customHeight="true" outlineLevel="0" collapsed="false">
      <c r="A48" s="15" t="s">
        <v>56</v>
      </c>
      <c r="B48" s="23" t="n">
        <f aca="false">2*B12*1000000000*B21</f>
        <v>16000000000000000</v>
      </c>
    </row>
    <row r="49" customFormat="false" ht="15" hidden="false" customHeight="true" outlineLevel="0" collapsed="false">
      <c r="A49" s="15" t="s">
        <v>57</v>
      </c>
      <c r="B49" s="16" t="n">
        <f aca="false">B48/(B16*1000000000000)</f>
        <v>320</v>
      </c>
    </row>
    <row r="50" customFormat="false" ht="15" hidden="false" customHeight="true" outlineLevel="0" collapsed="false">
      <c r="A50" s="17" t="s">
        <v>41</v>
      </c>
      <c r="B50" s="18" t="n">
        <v>320</v>
      </c>
    </row>
    <row r="51" customFormat="false" ht="15" hidden="false" customHeight="true" outlineLevel="0" collapsed="false">
      <c r="A51" s="15" t="s">
        <v>58</v>
      </c>
      <c r="B51" s="23" t="n">
        <f aca="false">2*B14*B21^2*B15</f>
        <v>2.62144E+017</v>
      </c>
    </row>
    <row r="52" customFormat="false" ht="15" hidden="false" customHeight="true" outlineLevel="0" collapsed="false">
      <c r="A52" s="17" t="s">
        <v>41</v>
      </c>
      <c r="B52" s="24" t="n">
        <v>2.6E+017</v>
      </c>
    </row>
    <row r="53" customFormat="false" ht="15" hidden="false" customHeight="true" outlineLevel="0" collapsed="false">
      <c r="A53" s="15" t="s">
        <v>59</v>
      </c>
      <c r="B53" s="25" t="n">
        <f aca="false">B51/B48</f>
        <v>16.384</v>
      </c>
    </row>
    <row r="54" customFormat="false" ht="15" hidden="false" customHeight="true" outlineLevel="0" collapsed="false">
      <c r="A54" s="17" t="s">
        <v>41</v>
      </c>
      <c r="B54" s="26" t="n">
        <v>16</v>
      </c>
    </row>
    <row r="55" customFormat="false" ht="15" hidden="false" customHeight="true" outlineLevel="0" collapsed="false">
      <c r="A55" s="15" t="s">
        <v>60</v>
      </c>
      <c r="B55" s="25" t="n">
        <f aca="false">(B48+B51)/(B16*1000000000000)/3600</f>
        <v>1.54524444444444</v>
      </c>
    </row>
    <row r="56" customFormat="false" ht="15" hidden="false" customHeight="true" outlineLevel="0" collapsed="false">
      <c r="A56" s="17" t="s">
        <v>41</v>
      </c>
      <c r="B56" s="26" t="n">
        <v>1.5</v>
      </c>
    </row>
    <row r="57" customFormat="false" ht="15" hidden="false" customHeight="true" outlineLevel="0" collapsed="false">
      <c r="A57" s="15" t="s">
        <v>61</v>
      </c>
      <c r="B57" s="25" t="n">
        <f aca="false">(2*B12*1000000000*B11+2*B14*B11^2*B15)/(B16*1000000000000)</f>
        <v>1.731072</v>
      </c>
    </row>
    <row r="58" customFormat="false" ht="15" hidden="false" customHeight="true" outlineLevel="0" collapsed="false">
      <c r="A58" s="17" t="s">
        <v>41</v>
      </c>
      <c r="B58" s="26" t="n">
        <v>1.7</v>
      </c>
    </row>
    <row r="59" customFormat="false" ht="15" hidden="false" customHeight="true" outlineLevel="0" collapsed="false">
      <c r="A59" s="15" t="s">
        <v>62</v>
      </c>
      <c r="B59" s="25" t="n">
        <f aca="false">(2*B12*1000000000*B18+2*B14*B18^2*B15)/(B16*1000000000000)/60</f>
        <v>2.20025054245683</v>
      </c>
    </row>
    <row r="60" customFormat="false" ht="15" hidden="false" customHeight="true" outlineLevel="0" collapsed="false">
      <c r="A60" s="17" t="s">
        <v>41</v>
      </c>
      <c r="B60" s="26" t="n">
        <v>2</v>
      </c>
    </row>
    <row r="62" customFormat="false" ht="15" hidden="false" customHeight="true" outlineLevel="0" collapsed="false">
      <c r="A62" s="27" t="s">
        <v>63</v>
      </c>
    </row>
    <row r="63" customFormat="false" ht="15" hidden="false" customHeight="true" outlineLevel="0" collapsed="false">
      <c r="A63" s="27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5.75" hidden="false" customHeight="true" outlineLevel="0" collapsed="false">
      <c r="A1" s="7" t="s">
        <v>65</v>
      </c>
    </row>
    <row r="3" customFormat="false" ht="15" hidden="false" customHeight="true" outlineLevel="0" collapsed="false">
      <c r="A3" s="8" t="s">
        <v>66</v>
      </c>
      <c r="B3" s="9" t="n">
        <v>50000</v>
      </c>
    </row>
    <row r="4" customFormat="false" ht="15" hidden="false" customHeight="true" outlineLevel="0" collapsed="false">
      <c r="A4" s="8" t="s">
        <v>67</v>
      </c>
      <c r="B4" s="12" t="n">
        <v>12</v>
      </c>
    </row>
    <row r="5" customFormat="false" ht="15" hidden="false" customHeight="true" outlineLevel="0" collapsed="false">
      <c r="A5" s="8" t="s">
        <v>25</v>
      </c>
      <c r="B5" s="9" t="n">
        <v>500</v>
      </c>
    </row>
    <row r="6" customFormat="false" ht="15" hidden="false" customHeight="true" outlineLevel="0" collapsed="false">
      <c r="A6" s="8" t="s">
        <v>68</v>
      </c>
      <c r="B6" s="9" t="n">
        <v>512</v>
      </c>
    </row>
    <row r="7" customFormat="false" ht="15" hidden="false" customHeight="true" outlineLevel="0" collapsed="false">
      <c r="A7" s="8" t="s">
        <v>69</v>
      </c>
      <c r="B7" s="9" t="n">
        <v>64</v>
      </c>
    </row>
    <row r="8" customFormat="false" ht="15" hidden="false" customHeight="true" outlineLevel="0" collapsed="false">
      <c r="A8" s="8" t="s">
        <v>70</v>
      </c>
      <c r="B8" s="9" t="n">
        <v>1024</v>
      </c>
    </row>
    <row r="9" customFormat="false" ht="15" hidden="false" customHeight="true" outlineLevel="0" collapsed="false">
      <c r="A9" s="8" t="s">
        <v>71</v>
      </c>
      <c r="B9" s="12" t="n">
        <v>4</v>
      </c>
    </row>
    <row r="10" customFormat="false" ht="15" hidden="false" customHeight="true" outlineLevel="0" collapsed="false">
      <c r="A10" s="8" t="s">
        <v>72</v>
      </c>
      <c r="B10" s="12" t="n">
        <v>1</v>
      </c>
    </row>
    <row r="11" customFormat="false" ht="15" hidden="false" customHeight="true" outlineLevel="0" collapsed="false">
      <c r="A11" s="8" t="s">
        <v>73</v>
      </c>
      <c r="B11" s="12" t="n">
        <v>4</v>
      </c>
    </row>
    <row r="12" customFormat="false" ht="15" hidden="false" customHeight="true" outlineLevel="0" collapsed="false">
      <c r="A12" s="8" t="s">
        <v>74</v>
      </c>
      <c r="B12" s="13" t="n">
        <v>0.6</v>
      </c>
    </row>
    <row r="13" customFormat="false" ht="15" hidden="false" customHeight="true" outlineLevel="0" collapsed="false">
      <c r="A13" s="8" t="s">
        <v>75</v>
      </c>
      <c r="B13" s="12" t="n">
        <v>50</v>
      </c>
    </row>
    <row r="14" customFormat="false" ht="15" hidden="false" customHeight="true" outlineLevel="0" collapsed="false">
      <c r="A14" s="8" t="s">
        <v>76</v>
      </c>
      <c r="B14" s="9" t="n">
        <v>1000000000</v>
      </c>
    </row>
    <row r="16" customFormat="false" ht="15" hidden="false" customHeight="true" outlineLevel="0" collapsed="false">
      <c r="A16" s="14" t="s">
        <v>38</v>
      </c>
      <c r="B16" s="14" t="s">
        <v>39</v>
      </c>
    </row>
    <row r="17" customFormat="false" ht="15" hidden="false" customHeight="true" outlineLevel="0" collapsed="false">
      <c r="A17" s="15" t="s">
        <v>40</v>
      </c>
      <c r="B17" s="16" t="n">
        <f aca="false">B3*B4*B5</f>
        <v>300000000</v>
      </c>
    </row>
    <row r="18" customFormat="false" ht="15" hidden="false" customHeight="true" outlineLevel="0" collapsed="false">
      <c r="A18" s="17" t="s">
        <v>41</v>
      </c>
      <c r="B18" s="18" t="n">
        <v>300000000</v>
      </c>
    </row>
    <row r="19" customFormat="false" ht="15" hidden="false" customHeight="true" outlineLevel="0" collapsed="false">
      <c r="A19" s="15" t="s">
        <v>77</v>
      </c>
      <c r="B19" s="16" t="n">
        <f aca="false">B6-B7</f>
        <v>448</v>
      </c>
    </row>
    <row r="20" customFormat="false" ht="15" hidden="false" customHeight="true" outlineLevel="0" collapsed="false">
      <c r="A20" s="17" t="s">
        <v>41</v>
      </c>
      <c r="B20" s="18" t="n">
        <v>448</v>
      </c>
    </row>
    <row r="21" customFormat="false" ht="15" hidden="false" customHeight="true" outlineLevel="0" collapsed="false">
      <c r="A21" s="15" t="s">
        <v>78</v>
      </c>
      <c r="B21" s="16" t="n">
        <f aca="false">B17/B19</f>
        <v>669642.857142857</v>
      </c>
    </row>
    <row r="22" customFormat="false" ht="15" hidden="false" customHeight="true" outlineLevel="0" collapsed="false">
      <c r="A22" s="17" t="s">
        <v>41</v>
      </c>
      <c r="B22" s="18" t="n">
        <v>670000</v>
      </c>
    </row>
    <row r="23" customFormat="false" ht="15" hidden="false" customHeight="true" outlineLevel="0" collapsed="false">
      <c r="A23" s="15" t="s">
        <v>79</v>
      </c>
      <c r="B23" s="25" t="n">
        <f aca="false">B21*B8*B9/1000000000</f>
        <v>2.74285714285714</v>
      </c>
    </row>
    <row r="24" customFormat="false" ht="15" hidden="false" customHeight="true" outlineLevel="0" collapsed="false">
      <c r="A24" s="17" t="s">
        <v>41</v>
      </c>
      <c r="B24" s="26" t="n">
        <v>2.7</v>
      </c>
    </row>
    <row r="25" customFormat="false" ht="15" hidden="false" customHeight="true" outlineLevel="0" collapsed="false">
      <c r="A25" s="15" t="s">
        <v>80</v>
      </c>
      <c r="B25" s="25" t="n">
        <f aca="false">B21*B8*B10/1000000000</f>
        <v>0.685714285714286</v>
      </c>
    </row>
    <row r="26" customFormat="false" ht="15" hidden="false" customHeight="true" outlineLevel="0" collapsed="false">
      <c r="A26" s="17" t="s">
        <v>41</v>
      </c>
      <c r="B26" s="26" t="n">
        <v>0.7</v>
      </c>
    </row>
    <row r="27" customFormat="false" ht="15" hidden="false" customHeight="true" outlineLevel="0" collapsed="false">
      <c r="A27" s="15" t="s">
        <v>81</v>
      </c>
      <c r="B27" s="25" t="n">
        <f aca="false">B21*B6*B11/1000000000</f>
        <v>1.37142857142857</v>
      </c>
    </row>
    <row r="28" customFormat="false" ht="15" hidden="false" customHeight="true" outlineLevel="0" collapsed="false">
      <c r="A28" s="17" t="s">
        <v>41</v>
      </c>
      <c r="B28" s="26" t="n">
        <v>1.4</v>
      </c>
    </row>
    <row r="29" customFormat="false" ht="15" hidden="false" customHeight="true" outlineLevel="0" collapsed="false">
      <c r="A29" s="15" t="s">
        <v>82</v>
      </c>
      <c r="B29" s="16" t="n">
        <f aca="false">B17*B6/B19/1000000</f>
        <v>342.857142857143</v>
      </c>
    </row>
    <row r="30" customFormat="false" ht="15" hidden="false" customHeight="true" outlineLevel="0" collapsed="false">
      <c r="A30" s="17" t="s">
        <v>41</v>
      </c>
      <c r="B30" s="18" t="n">
        <v>343</v>
      </c>
    </row>
    <row r="31" customFormat="false" ht="15" hidden="false" customHeight="true" outlineLevel="0" collapsed="false">
      <c r="A31" s="15" t="s">
        <v>83</v>
      </c>
      <c r="B31" s="25" t="n">
        <f aca="false">2*B12</f>
        <v>1.2</v>
      </c>
    </row>
    <row r="32" customFormat="false" ht="15" hidden="false" customHeight="true" outlineLevel="0" collapsed="false">
      <c r="A32" s="17" t="s">
        <v>41</v>
      </c>
      <c r="B32" s="26" t="n">
        <v>1.2</v>
      </c>
    </row>
    <row r="33" customFormat="false" ht="15" hidden="false" customHeight="true" outlineLevel="0" collapsed="false">
      <c r="A33" s="15" t="s">
        <v>84</v>
      </c>
      <c r="B33" s="23" t="n">
        <f aca="false">B29*1000000*B31*1000000000</f>
        <v>4.11428571428571E+017</v>
      </c>
    </row>
    <row r="34" customFormat="false" ht="15" hidden="false" customHeight="true" outlineLevel="0" collapsed="false">
      <c r="A34" s="17" t="s">
        <v>41</v>
      </c>
      <c r="B34" s="24" t="n">
        <v>4.1E+017</v>
      </c>
    </row>
    <row r="35" customFormat="false" ht="15" hidden="false" customHeight="true" outlineLevel="0" collapsed="false">
      <c r="A35" s="15" t="s">
        <v>85</v>
      </c>
      <c r="B35" s="25" t="n">
        <f aca="false">B33/(B13*1000000000000)/3600</f>
        <v>2.28571428571429</v>
      </c>
    </row>
    <row r="36" customFormat="false" ht="15" hidden="false" customHeight="true" outlineLevel="0" collapsed="false">
      <c r="A36" s="17" t="s">
        <v>41</v>
      </c>
      <c r="B36" s="26" t="n">
        <v>2.3</v>
      </c>
    </row>
    <row r="37" customFormat="false" ht="15" hidden="false" customHeight="true" outlineLevel="0" collapsed="false">
      <c r="A37" s="15" t="s">
        <v>86</v>
      </c>
      <c r="B37" s="25" t="n">
        <f aca="false">B14*2*B12*1000000000/(B13*1000000000000)/3600</f>
        <v>6.66666666666667</v>
      </c>
    </row>
    <row r="39" customFormat="false" ht="15" hidden="false" customHeight="true" outlineLevel="0" collapsed="false">
      <c r="A39" s="27" t="s">
        <v>87</v>
      </c>
    </row>
    <row r="40" customFormat="false" ht="15" hidden="false" customHeight="true" outlineLevel="0" collapsed="false">
      <c r="A40" s="27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5.75" hidden="false" customHeight="true" outlineLevel="0" collapsed="false">
      <c r="A1" s="7" t="s">
        <v>89</v>
      </c>
    </row>
    <row r="3" customFormat="false" ht="15" hidden="false" customHeight="true" outlineLevel="0" collapsed="false">
      <c r="A3" s="8" t="s">
        <v>90</v>
      </c>
      <c r="B3" s="9" t="n">
        <v>8192</v>
      </c>
    </row>
    <row r="4" customFormat="false" ht="15" hidden="false" customHeight="true" outlineLevel="0" collapsed="false">
      <c r="A4" s="8" t="s">
        <v>91</v>
      </c>
      <c r="B4" s="9" t="n">
        <v>600</v>
      </c>
    </row>
    <row r="5" customFormat="false" ht="15" hidden="false" customHeight="true" outlineLevel="0" collapsed="false">
      <c r="A5" s="8" t="s">
        <v>92</v>
      </c>
      <c r="B5" s="9" t="n">
        <v>1000</v>
      </c>
    </row>
    <row r="6" customFormat="false" ht="15" hidden="false" customHeight="true" outlineLevel="0" collapsed="false">
      <c r="A6" s="8" t="s">
        <v>93</v>
      </c>
      <c r="B6" s="9" t="n">
        <v>100</v>
      </c>
    </row>
    <row r="7" customFormat="false" ht="15" hidden="false" customHeight="true" outlineLevel="0" collapsed="false">
      <c r="A7" s="8" t="s">
        <v>94</v>
      </c>
      <c r="B7" s="9" t="n">
        <v>1000</v>
      </c>
    </row>
    <row r="8" customFormat="false" ht="15" hidden="false" customHeight="true" outlineLevel="0" collapsed="false">
      <c r="A8" s="8" t="s">
        <v>68</v>
      </c>
      <c r="B8" s="9" t="n">
        <v>512</v>
      </c>
    </row>
    <row r="9" customFormat="false" ht="15" hidden="false" customHeight="true" outlineLevel="0" collapsed="false">
      <c r="A9" s="8" t="s">
        <v>95</v>
      </c>
      <c r="B9" s="9" t="n">
        <v>30</v>
      </c>
    </row>
    <row r="10" customFormat="false" ht="15" hidden="false" customHeight="true" outlineLevel="0" collapsed="false">
      <c r="A10" s="8" t="s">
        <v>96</v>
      </c>
      <c r="B10" s="12" t="n">
        <v>8</v>
      </c>
    </row>
    <row r="11" customFormat="false" ht="15" hidden="false" customHeight="true" outlineLevel="0" collapsed="false">
      <c r="A11" s="8" t="s">
        <v>97</v>
      </c>
      <c r="B11" s="9" t="n">
        <v>131072</v>
      </c>
    </row>
    <row r="12" customFormat="false" ht="15" hidden="false" customHeight="true" outlineLevel="0" collapsed="false">
      <c r="A12" s="8" t="s">
        <v>98</v>
      </c>
      <c r="B12" s="9" t="n">
        <v>32768</v>
      </c>
    </row>
    <row r="13" customFormat="false" ht="15" hidden="false" customHeight="true" outlineLevel="0" collapsed="false">
      <c r="A13" s="8" t="s">
        <v>99</v>
      </c>
      <c r="B13" s="10" t="n">
        <v>0.5</v>
      </c>
    </row>
    <row r="15" customFormat="false" ht="15" hidden="false" customHeight="true" outlineLevel="0" collapsed="false">
      <c r="A15" s="14" t="s">
        <v>38</v>
      </c>
      <c r="B15" s="14" t="s">
        <v>39</v>
      </c>
    </row>
    <row r="16" customFormat="false" ht="15" hidden="false" customHeight="true" outlineLevel="0" collapsed="false">
      <c r="A16" s="15" t="s">
        <v>100</v>
      </c>
      <c r="B16" s="16" t="n">
        <f aca="false">B4+B5+B6+B7</f>
        <v>2700</v>
      </c>
    </row>
    <row r="17" customFormat="false" ht="15" hidden="false" customHeight="true" outlineLevel="0" collapsed="false">
      <c r="A17" s="17" t="s">
        <v>41</v>
      </c>
      <c r="B17" s="18" t="n">
        <v>2700</v>
      </c>
    </row>
    <row r="18" customFormat="false" ht="15" hidden="false" customHeight="true" outlineLevel="0" collapsed="false">
      <c r="A18" s="15" t="s">
        <v>101</v>
      </c>
      <c r="B18" s="16" t="n">
        <f aca="false">B3-B16</f>
        <v>5492</v>
      </c>
    </row>
    <row r="19" customFormat="false" ht="15" hidden="false" customHeight="true" outlineLevel="0" collapsed="false">
      <c r="A19" s="17" t="s">
        <v>41</v>
      </c>
      <c r="B19" s="18" t="n">
        <v>5492</v>
      </c>
    </row>
    <row r="20" customFormat="false" ht="15" hidden="false" customHeight="true" outlineLevel="0" collapsed="false">
      <c r="A20" s="15" t="s">
        <v>102</v>
      </c>
      <c r="B20" s="16" t="n">
        <f aca="false">B8+B9</f>
        <v>542</v>
      </c>
    </row>
    <row r="21" customFormat="false" ht="15" hidden="false" customHeight="true" outlineLevel="0" collapsed="false">
      <c r="A21" s="17" t="s">
        <v>41</v>
      </c>
      <c r="B21" s="18" t="n">
        <v>542</v>
      </c>
    </row>
    <row r="22" customFormat="false" ht="15" hidden="false" customHeight="true" outlineLevel="0" collapsed="false">
      <c r="A22" s="15" t="s">
        <v>103</v>
      </c>
      <c r="B22" s="25" t="n">
        <f aca="false">B18/B20</f>
        <v>10.1328413284133</v>
      </c>
    </row>
    <row r="23" customFormat="false" ht="15" hidden="false" customHeight="true" outlineLevel="0" collapsed="false">
      <c r="A23" s="17" t="s">
        <v>41</v>
      </c>
      <c r="B23" s="26" t="n">
        <v>10.1</v>
      </c>
    </row>
    <row r="24" customFormat="false" ht="15" hidden="false" customHeight="true" outlineLevel="0" collapsed="false">
      <c r="A24" s="15" t="s">
        <v>104</v>
      </c>
      <c r="B24" s="28" t="n">
        <f aca="false">INT(B18/B20)</f>
        <v>10</v>
      </c>
    </row>
    <row r="25" customFormat="false" ht="15" hidden="false" customHeight="true" outlineLevel="0" collapsed="false">
      <c r="A25" s="17" t="s">
        <v>41</v>
      </c>
      <c r="B25" s="29" t="n">
        <v>10</v>
      </c>
    </row>
    <row r="26" customFormat="false" ht="15" hidden="false" customHeight="true" outlineLevel="0" collapsed="false">
      <c r="A26" s="15" t="s">
        <v>105</v>
      </c>
      <c r="B26" s="15" t="str">
        <f aca="false">IF(B10&lt;=B24,"yes","no")</f>
        <v>yes</v>
      </c>
    </row>
    <row r="27" customFormat="false" ht="15" hidden="false" customHeight="true" outlineLevel="0" collapsed="false">
      <c r="A27" s="15" t="s">
        <v>106</v>
      </c>
      <c r="B27" s="16" t="n">
        <f aca="false">B10*B20</f>
        <v>4336</v>
      </c>
    </row>
    <row r="28" customFormat="false" ht="15" hidden="false" customHeight="true" outlineLevel="0" collapsed="false">
      <c r="A28" s="17" t="s">
        <v>41</v>
      </c>
      <c r="B28" s="18" t="n">
        <v>4336</v>
      </c>
    </row>
    <row r="29" customFormat="false" ht="15" hidden="false" customHeight="true" outlineLevel="0" collapsed="false">
      <c r="A29" s="15" t="s">
        <v>107</v>
      </c>
      <c r="B29" s="16" t="n">
        <f aca="false">B4+B5+B6+B27</f>
        <v>6036</v>
      </c>
    </row>
    <row r="30" customFormat="false" ht="15" hidden="false" customHeight="true" outlineLevel="0" collapsed="false">
      <c r="A30" s="17" t="s">
        <v>41</v>
      </c>
      <c r="B30" s="18" t="n">
        <v>6036</v>
      </c>
    </row>
    <row r="31" customFormat="false" ht="15" hidden="false" customHeight="true" outlineLevel="0" collapsed="false">
      <c r="A31" s="15" t="s">
        <v>108</v>
      </c>
      <c r="B31" s="16" t="n">
        <f aca="false">B29+B7</f>
        <v>7036</v>
      </c>
    </row>
    <row r="32" customFormat="false" ht="15" hidden="false" customHeight="true" outlineLevel="0" collapsed="false">
      <c r="A32" s="17" t="s">
        <v>41</v>
      </c>
      <c r="B32" s="18" t="n">
        <v>7036</v>
      </c>
    </row>
    <row r="33" customFormat="false" ht="15" hidden="false" customHeight="true" outlineLevel="0" collapsed="false">
      <c r="A33" s="15" t="s">
        <v>109</v>
      </c>
      <c r="B33" s="19" t="n">
        <f aca="false">B3*B11/1000000000</f>
        <v>1.073741824</v>
      </c>
    </row>
    <row r="34" customFormat="false" ht="15" hidden="false" customHeight="true" outlineLevel="0" collapsed="false">
      <c r="A34" s="17" t="s">
        <v>41</v>
      </c>
      <c r="B34" s="20" t="n">
        <v>1.07</v>
      </c>
    </row>
    <row r="35" customFormat="false" ht="15" hidden="false" customHeight="true" outlineLevel="0" collapsed="false">
      <c r="A35" s="15" t="s">
        <v>110</v>
      </c>
      <c r="B35" s="28" t="n">
        <f aca="false">INT((B12-B16)/B20)</f>
        <v>55</v>
      </c>
    </row>
    <row r="36" customFormat="false" ht="15" hidden="false" customHeight="true" outlineLevel="0" collapsed="false">
      <c r="A36" s="17" t="s">
        <v>41</v>
      </c>
      <c r="B36" s="29" t="n">
        <v>55</v>
      </c>
    </row>
    <row r="37" customFormat="false" ht="15" hidden="false" customHeight="true" outlineLevel="0" collapsed="false">
      <c r="A37" s="15" t="s">
        <v>111</v>
      </c>
      <c r="B37" s="25" t="n">
        <f aca="false">B12*B11/1000000000</f>
        <v>4.294967296</v>
      </c>
    </row>
    <row r="38" customFormat="false" ht="15" hidden="false" customHeight="true" outlineLevel="0" collapsed="false">
      <c r="A38" s="17" t="s">
        <v>41</v>
      </c>
      <c r="B38" s="26" t="n">
        <v>4.3</v>
      </c>
    </row>
    <row r="39" customFormat="false" ht="15" hidden="false" customHeight="true" outlineLevel="0" collapsed="false">
      <c r="A39" s="15" t="s">
        <v>112</v>
      </c>
      <c r="B39" s="25" t="n">
        <f aca="false">B37*B13</f>
        <v>2.147483648</v>
      </c>
    </row>
    <row r="41" customFormat="false" ht="15" hidden="false" customHeight="true" outlineLevel="0" collapsed="false">
      <c r="A41" s="27" t="s">
        <v>113</v>
      </c>
    </row>
    <row r="42" customFormat="false" ht="15" hidden="false" customHeight="true" outlineLevel="0" collapsed="false">
      <c r="A42" s="27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</cols>
  <sheetData>
    <row r="1" customFormat="false" ht="15.75" hidden="false" customHeight="true" outlineLevel="0" collapsed="false">
      <c r="A1" s="7" t="s">
        <v>115</v>
      </c>
    </row>
    <row r="3" customFormat="false" ht="30" hidden="false" customHeight="true" outlineLevel="0" collapsed="false">
      <c r="A3" s="14" t="s">
        <v>116</v>
      </c>
      <c r="B3" s="14" t="s">
        <v>117</v>
      </c>
      <c r="C3" s="14" t="s">
        <v>118</v>
      </c>
      <c r="D3" s="14" t="s">
        <v>119</v>
      </c>
    </row>
    <row r="4" customFormat="false" ht="15" hidden="false" customHeight="true" outlineLevel="0" collapsed="false">
      <c r="A4" s="8" t="s">
        <v>120</v>
      </c>
      <c r="B4" s="10" t="n">
        <v>0.78</v>
      </c>
      <c r="C4" s="10" t="n">
        <v>0.78</v>
      </c>
      <c r="D4" s="10" t="n">
        <v>0.93</v>
      </c>
    </row>
    <row r="5" customFormat="false" ht="15" hidden="false" customHeight="true" outlineLevel="0" collapsed="false">
      <c r="A5" s="8" t="s">
        <v>121</v>
      </c>
      <c r="B5" s="10" t="n">
        <v>0.92</v>
      </c>
      <c r="C5" s="10" t="n">
        <v>0.96</v>
      </c>
      <c r="D5" s="10" t="n">
        <v>0.92</v>
      </c>
    </row>
    <row r="6" customFormat="false" ht="15" hidden="false" customHeight="true" outlineLevel="0" collapsed="false">
      <c r="A6" s="8" t="s">
        <v>122</v>
      </c>
      <c r="B6" s="10" t="n">
        <v>0.1</v>
      </c>
      <c r="C6" s="10" t="n">
        <v>0.1</v>
      </c>
      <c r="D6" s="10" t="n">
        <v>0.1</v>
      </c>
    </row>
    <row r="8" customFormat="false" ht="30" hidden="false" customHeight="true" outlineLevel="0" collapsed="false">
      <c r="A8" s="14" t="s">
        <v>38</v>
      </c>
      <c r="B8" s="14" t="s">
        <v>117</v>
      </c>
      <c r="C8" s="14" t="s">
        <v>118</v>
      </c>
      <c r="D8" s="14" t="s">
        <v>119</v>
      </c>
    </row>
    <row r="9" customFormat="false" ht="15" hidden="false" customHeight="true" outlineLevel="0" collapsed="false">
      <c r="A9" s="15" t="s">
        <v>123</v>
      </c>
      <c r="B9" s="21" t="n">
        <f aca="false">B4*B5</f>
        <v>0.7176</v>
      </c>
      <c r="C9" s="21" t="n">
        <f aca="false">C4*C5</f>
        <v>0.7488</v>
      </c>
      <c r="D9" s="21" t="n">
        <f aca="false">D4*D5</f>
        <v>0.8556</v>
      </c>
    </row>
    <row r="10" customFormat="false" ht="15" hidden="false" customHeight="true" outlineLevel="0" collapsed="false">
      <c r="A10" s="17" t="s">
        <v>41</v>
      </c>
      <c r="B10" s="22" t="n">
        <v>0.718</v>
      </c>
      <c r="C10" s="22" t="n">
        <v>0.749</v>
      </c>
      <c r="D10" s="22" t="n">
        <v>0.856</v>
      </c>
    </row>
    <row r="11" customFormat="false" ht="15" hidden="false" customHeight="true" outlineLevel="0" collapsed="false">
      <c r="A11" s="15" t="s">
        <v>124</v>
      </c>
      <c r="B11" s="21" t="n">
        <f aca="false">(1-B4)*B6</f>
        <v>0.022</v>
      </c>
      <c r="C11" s="21" t="n">
        <f aca="false">(1-C4)*C6</f>
        <v>0.022</v>
      </c>
      <c r="D11" s="21" t="n">
        <f aca="false">(1-D4)*D6</f>
        <v>0.007</v>
      </c>
    </row>
    <row r="12" customFormat="false" ht="15" hidden="false" customHeight="true" outlineLevel="0" collapsed="false">
      <c r="A12" s="17" t="s">
        <v>41</v>
      </c>
      <c r="B12" s="22" t="n">
        <v>0.022</v>
      </c>
      <c r="C12" s="22" t="n">
        <v>0.022</v>
      </c>
      <c r="D12" s="22" t="n">
        <v>0.007</v>
      </c>
    </row>
    <row r="13" customFormat="false" ht="15" hidden="false" customHeight="true" outlineLevel="0" collapsed="false">
      <c r="A13" s="15" t="s">
        <v>125</v>
      </c>
      <c r="B13" s="19" t="n">
        <f aca="false">B4*B5+(1-B4)*B6</f>
        <v>0.7396</v>
      </c>
      <c r="C13" s="19" t="n">
        <f aca="false">C4*C5+(1-C4)*C6</f>
        <v>0.7708</v>
      </c>
      <c r="D13" s="19" t="n">
        <f aca="false">D4*D5+(1-D4)*D6</f>
        <v>0.8626</v>
      </c>
    </row>
    <row r="14" customFormat="false" ht="15" hidden="false" customHeight="true" outlineLevel="0" collapsed="false">
      <c r="A14" s="17" t="s">
        <v>41</v>
      </c>
      <c r="B14" s="20" t="n">
        <v>0.74</v>
      </c>
      <c r="C14" s="20" t="n">
        <v>0.77</v>
      </c>
      <c r="D14" s="20" t="n">
        <v>0.86</v>
      </c>
    </row>
    <row r="15" customFormat="false" ht="15" hidden="false" customHeight="true" outlineLevel="0" collapsed="false">
      <c r="A15" s="15" t="s">
        <v>126</v>
      </c>
      <c r="B15" s="28" t="n">
        <f aca="false">(B13-B13)*100</f>
        <v>0</v>
      </c>
      <c r="C15" s="28" t="n">
        <f aca="false">(C13-B13)*100</f>
        <v>3.12</v>
      </c>
      <c r="D15" s="28" t="n">
        <f aca="false">(D13-B13)*100</f>
        <v>12.3</v>
      </c>
    </row>
    <row r="16" customFormat="false" ht="15" hidden="false" customHeight="true" outlineLevel="0" collapsed="false">
      <c r="A16" s="17" t="s">
        <v>41</v>
      </c>
      <c r="B16" s="29"/>
      <c r="C16" s="29" t="n">
        <v>3</v>
      </c>
      <c r="D16" s="29" t="n">
        <v>12</v>
      </c>
    </row>
    <row r="18" customFormat="false" ht="15" hidden="false" customHeight="true" outlineLevel="0" collapsed="false">
      <c r="A18" s="27" t="s">
        <v>127</v>
      </c>
    </row>
    <row r="19" customFormat="false" ht="15" hidden="false" customHeight="true" outlineLevel="0" collapsed="false">
      <c r="A19" s="27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2026-10-26T13:20:41Z</dcterms:created>
  <dc:creator>openpyxl</dc:creator>
  <dc:description/>
  <dc:language>en-US</dc:language>
  <cp:lastModifiedBy/>
  <dcterms:modified xsi:type="dcterms:W3CDTF">2026-10-26T13:20:41Z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