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Permission Filters" sheetId="2" state="visible" r:id="rId4"/>
    <sheet name="RAG Evaluation" sheetId="3" state="visible" r:id="rId5"/>
    <sheet name="Sizing" sheetId="4" state="visible" r:id="rId6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<sst xmlns="http://schemas.openxmlformats.org/spreadsheetml/2006/main" count="181" uniqueCount="150">
  <si>
    <t xml:space="preserve">Chapter 21 — Enterprise and Hybrid RAG</t>
  </si>
  <si>
    <t xml:space="preserve">Companion workbook of The Birth and Adolescence of Artificial Intelligence, Volume 2, by Leonhard Korowajczuk. Blue cells on a light yellow background are inputs: change them and every result recalculates.</t>
  </si>
  <si>
    <t xml:space="preserve">Sheet</t>
  </si>
  <si>
    <t xml:space="preserve">What it computes</t>
  </si>
  <si>
    <t xml:space="preserve">Book reference</t>
  </si>
  <si>
    <t xml:space="preserve">Permission Filters</t>
  </si>
  <si>
    <t xml:space="preserve">Permitted chunks surviving post-filtering, the over-fetch it needs, and the time of exact search over the permitted subset.</t>
  </si>
  <si>
    <t xml:space="preserve">Section 21.2, Worked Example 21.1</t>
  </si>
  <si>
    <t xml:space="preserve">RAG Evaluation</t>
  </si>
  <si>
    <t xml:space="preserve">Context relevance, context recall, faithfulness and the factual F1 of one answer, with a diagnosis of the failing stage.</t>
  </si>
  <si>
    <t xml:space="preserve">Section 21.7, Worked Example 21.2, Figure 21.5</t>
  </si>
  <si>
    <t xml:space="preserve">Sizing</t>
  </si>
  <si>
    <t xml:space="preserve">Index memory now and after growth, re-embedding time, query-side and reranking load, and the corpus size at which the index fills a server.</t>
  </si>
  <si>
    <t xml:space="preserve">Section 21.8, Worked Example 21.3, Figure 21.6</t>
  </si>
  <si>
    <t xml:space="preserve">Notes</t>
  </si>
  <si>
    <t xml:space="preserve">Units are decimal (1 GB = 10^9 bytes). FLOP counts use 2 × parameters per token.</t>
  </si>
  <si>
    <t xml:space="preserve">Values marked as from other chapters (Worked Examples 15.2, 16.3, 16.4, 17.2, 19.4 and 20.1) are entered as inputs; change them there and here together.</t>
  </si>
  <si>
    <t xml:space="preserve">Why Permission Filters Must Run Inside the Search (Worked Example 21.1)</t>
  </si>
  <si>
    <t xml:space="preserve">Corpus chunks</t>
  </si>
  <si>
    <t xml:space="preserve">Share of chunks the user may read</t>
  </si>
  <si>
    <t xml:space="preserve">Candidates retrieved k</t>
  </si>
  <si>
    <t xml:space="preserve">Embedding dimensions</t>
  </si>
  <si>
    <t xml:space="preserve">Benchmark vectors (Worked Example 20.1)</t>
  </si>
  <si>
    <t xml:space="preserve">Benchmark dimensions (Worked Example 20.1)</t>
  </si>
  <si>
    <t xml:space="preserve">Flat search in batches, benchmark (ms per query; Worked Example 20.1)</t>
  </si>
  <si>
    <t xml:space="preserve">Flat search, single query, benchmark (ms; Worked Example 20.1)</t>
  </si>
  <si>
    <t xml:space="preserve">Permitted chunks</t>
  </si>
  <si>
    <t xml:space="preserve">Value in the book</t>
  </si>
  <si>
    <t xml:space="preserve">26,800</t>
  </si>
  <si>
    <t xml:space="preserve">Post-filtering</t>
  </si>
  <si>
    <t xml:space="preserve">Permitted results surviving, even spread</t>
  </si>
  <si>
    <t xml:space="preserve">about 2</t>
  </si>
  <si>
    <t xml:space="preserve">Candidates to retrieve to keep k permitted</t>
  </si>
  <si>
    <t xml:space="preserve">about 1,250</t>
  </si>
  <si>
    <t xml:space="preserve">Work relative to an unfiltered search (×)</t>
  </si>
  <si>
    <t xml:space="preserve">25 times</t>
  </si>
  <si>
    <t xml:space="preserve">In-search filtering</t>
  </si>
  <si>
    <t xml:space="preserve">Permitted candidates returned</t>
  </si>
  <si>
    <t xml:space="preserve">50</t>
  </si>
  <si>
    <t xml:space="preserve">Exact search on the permitted subset</t>
  </si>
  <si>
    <t xml:space="preserve">Multiply-adds per query (millions)</t>
  </si>
  <si>
    <t xml:space="preserve">Single query, one core (ms)</t>
  </si>
  <si>
    <t xml:space="preserve">about 8 ms</t>
  </si>
  <si>
    <t xml:space="preserve">Batched queries sharing the subset, one core (ms per query)</t>
  </si>
  <si>
    <t xml:space="preserve">about 2 ms</t>
  </si>
  <si>
    <t xml:space="preserve">Single query over the whole corpus, one core (ms)</t>
  </si>
  <si>
    <t xml:space="preserve">Reading: post-filtering shows no forbidden passage but silently degrades recall for users with narrow access; filter during the search, or use exact search over the permitted subset when the filter is very selective.</t>
  </si>
  <si>
    <t xml:space="preserve">Exact-search times scale the Worked Example 20.1 benchmark by the number of multiply-adds. The 'even spread' figure assumes the user's chunks are spread evenly through the rankings.</t>
  </si>
  <si>
    <t xml:space="preserve">Evaluating One Answer (Worked Example 21.2)</t>
  </si>
  <si>
    <t xml:space="preserve">Passages retrieved</t>
  </si>
  <si>
    <t xml:space="preserve">Passages the judge rates relevant</t>
  </si>
  <si>
    <t xml:space="preserve">Reference fact</t>
  </si>
  <si>
    <t xml:space="preserve">In the retrieved context? (1/0)</t>
  </si>
  <si>
    <t xml:space="preserve">Stated correctly in the answer? (1/0)</t>
  </si>
  <si>
    <t xml:space="preserve">48 V DC for units before serial 2400 (manual)</t>
  </si>
  <si>
    <t xml:space="preserve">24–57 V DC from serial 2400 (field bulletin)</t>
  </si>
  <si>
    <t xml:space="preserve">Claim in the answer</t>
  </si>
  <si>
    <t xml:space="preserve">Supported by the passages? (1/0)</t>
  </si>
  <si>
    <t xml:space="preserve">Matches a reference fact? (1/0)</t>
  </si>
  <si>
    <t xml:space="preserve">(1) 48 V DC for early units</t>
  </si>
  <si>
    <t xml:space="preserve">(2) 24–57 V DC from serial 2400</t>
  </si>
  <si>
    <t xml:space="preserve">(3) The input is on terminal J1</t>
  </si>
  <si>
    <t xml:space="preserve">(4) The unit draws at most 38 W</t>
  </si>
  <si>
    <t xml:space="preserve">Context relevance (relevant ÷ retrieved)</t>
  </si>
  <si>
    <t xml:space="preserve">0.60</t>
  </si>
  <si>
    <t xml:space="preserve">Context recall (facts in context ÷ reference facts)</t>
  </si>
  <si>
    <t xml:space="preserve">1.00</t>
  </si>
  <si>
    <t xml:space="preserve">Faithfulness (supported claims ÷ claims)</t>
  </si>
  <si>
    <t xml:space="preserve">0.75</t>
  </si>
  <si>
    <t xml:space="preserve">Matching claims (TP)</t>
  </si>
  <si>
    <t xml:space="preserve">claims 1 and 2</t>
  </si>
  <si>
    <t xml:space="preserve">Extra claims (FP)</t>
  </si>
  <si>
    <t xml:space="preserve">claims 3 and 4</t>
  </si>
  <si>
    <t xml:space="preserve">Reference facts not stated (FN)</t>
  </si>
  <si>
    <t xml:space="preserve">Factual F1 = TP ÷ (TP + 0.5 × (FP + FN))</t>
  </si>
  <si>
    <t xml:space="preserve">0.67</t>
  </si>
  <si>
    <t xml:space="preserve">Factual precision (TP ÷ claims)</t>
  </si>
  <si>
    <t xml:space="preserve">Factual recall, completeness (TP ÷ reference facts)</t>
  </si>
  <si>
    <t xml:space="preserve">Where to work</t>
  </si>
  <si>
    <t xml:space="preserve">the defect was in generation</t>
  </si>
  <si>
    <t xml:space="preserve">Reading: retrieval was good (recall 1.0); the defect was in generation. The fix is in the prompt or the model — require a citation for every number — not in retrieval.</t>
  </si>
  <si>
    <t xml:space="preserve">Factual F1 counts claim 3 as extra even though it is true; a human reviewer marks the answer correct with an unsupported detail. Blank rows accept further facts or claims.</t>
  </si>
  <si>
    <t xml:space="preserve">Where to work checks, in order: context recall (retrieval), faithfulness (unsupported claims), factual recall (an answer that is supported but incomplete) and factual precision (extra claims to review).</t>
  </si>
  <si>
    <t xml:space="preserve">Sizing the Corporate RAG Service (Worked Example 21.3)</t>
  </si>
  <si>
    <t xml:space="preserve">Documents</t>
  </si>
  <si>
    <t xml:space="preserve">Corpus tokens (millions)</t>
  </si>
  <si>
    <t xml:space="preserve">Chunks (Worked Example 17.2)</t>
  </si>
  <si>
    <t xml:space="preserve">Corpus growth per year</t>
  </si>
  <si>
    <t xml:space="preserve">Planning horizon (years)</t>
  </si>
  <si>
    <t xml:space="preserve">Bytes per element, int8 index</t>
  </si>
  <si>
    <t xml:space="preserve">Bytes per element, FP32</t>
  </si>
  <si>
    <t xml:space="preserve">HNSW links per node M (Worked Example 20.1)</t>
  </si>
  <si>
    <t xml:space="preserve">Bytes per neighbor identifier</t>
  </si>
  <si>
    <t xml:space="preserve">Chunk text and metadata on disk (GB)</t>
  </si>
  <si>
    <t xml:space="preserve">Server memory (GB)</t>
  </si>
  <si>
    <t xml:space="preserve">Initial embedding, workstation GPU, 0.6B model (hours; Worked Example 19.4)</t>
  </si>
  <si>
    <t xml:space="preserve">Chunks changed per day</t>
  </si>
  <si>
    <t xml:space="preserve">Peak questions per second (Worked Example 16.3)</t>
  </si>
  <si>
    <t xml:space="preserve">Query embedding, GPU time (ms) — assumption for 'a few ms'</t>
  </si>
  <si>
    <t xml:space="preserve">Search, CPU time (ms) — assumption for 'a few ms'</t>
  </si>
  <si>
    <t xml:space="preserve">Reranker parameters (billions)</t>
  </si>
  <si>
    <t xml:space="preserve">Candidates reranked</t>
  </si>
  <si>
    <t xml:space="preserve">Tokens per candidate</t>
  </si>
  <si>
    <t xml:space="preserve">Effective FP8 rate, one RTX PRO 6000 (TFLOP/s; Worked Example 15.2)</t>
  </si>
  <si>
    <t xml:space="preserve">BF16 rate as a share of the FP8 rate</t>
  </si>
  <si>
    <t xml:space="preserve">GPUs for generation (Worked Example 16.4: four just sufficient, a fifth recommended)</t>
  </si>
  <si>
    <t xml:space="preserve">Corpus and index memory</t>
  </si>
  <si>
    <t xml:space="preserve">Tokens per chunk</t>
  </si>
  <si>
    <t xml:space="preserve">Tokens per document</t>
  </si>
  <si>
    <t xml:space="preserve">HNSW link bytes per vector</t>
  </si>
  <si>
    <t xml:space="preserve">Bytes per vector, int8 with HNSW</t>
  </si>
  <si>
    <t xml:space="preserve">Factor over the int8 vector</t>
  </si>
  <si>
    <t xml:space="preserve">1.25</t>
  </si>
  <si>
    <t xml:space="preserve">int8 HNSW index (GB)</t>
  </si>
  <si>
    <t xml:space="preserve">≈ 0.86 GB</t>
  </si>
  <si>
    <t xml:space="preserve">FP32 originals kept for rescoring (GB)</t>
  </si>
  <si>
    <t xml:space="preserve">2.7 GB</t>
  </si>
  <si>
    <t xml:space="preserve">Bytes per vector, FP32 with HNSW</t>
  </si>
  <si>
    <t xml:space="preserve">FP32 HNSW index (GB)</t>
  </si>
  <si>
    <t xml:space="preserve">2.9 GB</t>
  </si>
  <si>
    <t xml:space="preserve">Growth over the horizon (×)</t>
  </si>
  <si>
    <t xml:space="preserve">× 2.5</t>
  </si>
  <si>
    <t xml:space="preserve">int8 index after the horizon (GB)</t>
  </si>
  <si>
    <t xml:space="preserve">under 3 GB</t>
  </si>
  <si>
    <t xml:space="preserve">int8 index, FP32 originals and text after the horizon (GB)</t>
  </si>
  <si>
    <t xml:space="preserve">Embedding</t>
  </si>
  <si>
    <t xml:space="preserve">Daily re-embedding (s)</t>
  </si>
  <si>
    <t xml:space="preserve">about 80 seconds</t>
  </si>
  <si>
    <t xml:space="preserve">Query load at peak</t>
  </si>
  <si>
    <t xml:space="preserve">Query-embedding GPU busy share</t>
  </si>
  <si>
    <t xml:space="preserve">negligible</t>
  </si>
  <si>
    <t xml:space="preserve">Search CPU-core busy share</t>
  </si>
  <si>
    <t xml:space="preserve">Reranker compute per token (FLOP)</t>
  </si>
  <si>
    <t xml:space="preserve">1.2 × 10⁹</t>
  </si>
  <si>
    <t xml:space="preserve">Reranking load (FLOP/s)</t>
  </si>
  <si>
    <t xml:space="preserve">3.1 × 10¹³</t>
  </si>
  <si>
    <t xml:space="preserve">Share of one RTX PRO 6000, FP8</t>
  </si>
  <si>
    <t xml:space="preserve">about 8%</t>
  </si>
  <si>
    <t xml:space="preserve">Share of one RTX PRO 6000, BF16</t>
  </si>
  <si>
    <t xml:space="preserve">about 15%</t>
  </si>
  <si>
    <t xml:space="preserve">Share of the generation fleet's FP8 rate</t>
  </si>
  <si>
    <t xml:space="preserve">When the index fills a server (Figure 21.6)</t>
  </si>
  <si>
    <t xml:space="preserve">Chunks that fill the server, FP32 index (millions)</t>
  </si>
  <si>
    <t xml:space="preserve">about 120 million</t>
  </si>
  <si>
    <t xml:space="preserve">Corresponding corpus (billion tokens)</t>
  </si>
  <si>
    <t xml:space="preserve">some 50 billion</t>
  </si>
  <si>
    <t xml:space="preserve">Chunks that fill the server, int8 index (millions)</t>
  </si>
  <si>
    <t xml:space="preserve">about 400 million</t>
  </si>
  <si>
    <t xml:space="preserve">Reading: for a corpus of this size, retrieval infrastructure is a single modest server (or a share of one); the GPUs are for generation.</t>
  </si>
  <si>
    <t xml:space="preserve">Index memory counts vectors and HNSW links only. The fill thresholds assume the whole server memory holds the index (FP32 originals for the int8 index on disk); the OS, chunk text and caches need memory too. The query-embedding and search times are assumptions where the book says 'a few ms'.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</si>
</sst>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.0%"/>
    <numFmt numFmtId="167" formatCode="0"/>
    <numFmt numFmtId="168" formatCode="0.0"/>
    <numFmt numFmtId="169" formatCode="0.00"/>
    <numFmt numFmtId="170" formatCode="0%"/>
    <numFmt numFmtId="171" formatCode="0.0E+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A641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3"/>
      <color rgb="FF8A64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7EFDD"/>
        <bgColor rgb="FFFFF9E6"/>
      </patternFill>
    </fill>
    <fill>
      <patternFill patternType="solid">
        <fgColor rgb="FFFFF9E6"/>
        <bgColor rgb="FFF7EF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9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410"/>
      <rgbColor rgb="FF800080"/>
      <rgbColor rgb="FF008080"/>
      <rgbColor rgb="FFBFBFBF"/>
      <rgbColor rgb="FF808080"/>
      <rgbColor rgb="FF9999FF"/>
      <rgbColor rgb="FF993366"/>
      <rgbColor rgb="FFF7EFD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2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23.85" hidden="false" customHeight="false" outlineLevel="0" collapsed="false">
      <c r="A5" s="4" t="s">
        <v>5</v>
      </c>
      <c r="B5" s="5" t="s">
        <v>6</v>
      </c>
      <c r="C5" s="5" t="s">
        <v>7</v>
      </c>
    </row>
    <row r="6" customFormat="false" ht="23.85" hidden="false" customHeight="false" outlineLevel="0" collapsed="false">
      <c r="A6" s="4" t="s">
        <v>8</v>
      </c>
      <c r="B6" s="5" t="s">
        <v>9</v>
      </c>
      <c r="C6" s="5" t="s">
        <v>10</v>
      </c>
    </row>
    <row r="7" customFormat="false" ht="23.85" hidden="false" customHeight="false" outlineLevel="0" collapsed="false">
      <c r="A7" s="4" t="s">
        <v>11</v>
      </c>
      <c r="B7" s="5" t="s">
        <v>12</v>
      </c>
      <c r="C7" s="5" t="s">
        <v>13</v>
      </c>
    </row>
    <row r="9" customFormat="false" ht="15" hidden="false" customHeight="false" outlineLevel="0" collapsed="false">
      <c r="A9" s="4" t="s">
        <v>14</v>
      </c>
    </row>
    <row r="10" customFormat="false" ht="30" hidden="false" customHeight="true" outlineLevel="0" collapsed="false">
      <c r="A10" s="6" t="s">
        <v>15</v>
      </c>
      <c r="B10" s="6"/>
      <c r="C10" s="6"/>
    </row>
    <row r="11" customFormat="false" ht="30" hidden="false" customHeight="true" outlineLevel="0" collapsed="false">
      <c r="A11" s="6" t="s">
        <v>16</v>
      </c>
      <c r="B11" s="6"/>
      <c r="C11" s="6"/>
    </row>
  </sheetData>
  <mergeCells count="3">
    <mergeCell ref="A2:C2"/>
    <mergeCell ref="A10:C10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7" t="s">
        <v>17</v>
      </c>
    </row>
    <row r="3" customFormat="false" ht="15" hidden="false" customHeight="false" outlineLevel="0" collapsed="false">
      <c r="A3" s="8" t="s">
        <v>18</v>
      </c>
      <c r="B3" s="9" t="n">
        <v>670000</v>
      </c>
    </row>
    <row r="4" customFormat="false" ht="15" hidden="false" customHeight="false" outlineLevel="0" collapsed="false">
      <c r="A4" s="8" t="s">
        <v>19</v>
      </c>
      <c r="B4" s="10" t="n">
        <v>0.04</v>
      </c>
    </row>
    <row r="5" customFormat="false" ht="15" hidden="false" customHeight="false" outlineLevel="0" collapsed="false">
      <c r="A5" s="8" t="s">
        <v>20</v>
      </c>
      <c r="B5" s="11" t="n">
        <v>50</v>
      </c>
    </row>
    <row r="6" customFormat="false" ht="15" hidden="false" customHeight="false" outlineLevel="0" collapsed="false">
      <c r="A6" s="8" t="s">
        <v>21</v>
      </c>
      <c r="B6" s="9" t="n">
        <v>1024</v>
      </c>
    </row>
    <row r="7" customFormat="false" ht="15" hidden="false" customHeight="false" outlineLevel="0" collapsed="false">
      <c r="A7" s="8" t="s">
        <v>22</v>
      </c>
      <c r="B7" s="9" t="n">
        <v>200000</v>
      </c>
    </row>
    <row r="8" customFormat="false" ht="15" hidden="false" customHeight="false" outlineLevel="0" collapsed="false">
      <c r="A8" s="8" t="s">
        <v>23</v>
      </c>
      <c r="B8" s="11" t="n">
        <v>384</v>
      </c>
    </row>
    <row r="9" customFormat="false" ht="15" hidden="false" customHeight="false" outlineLevel="0" collapsed="false">
      <c r="A9" s="8" t="s">
        <v>24</v>
      </c>
      <c r="B9" s="12" t="n">
        <v>5.2</v>
      </c>
    </row>
    <row r="10" customFormat="false" ht="15" hidden="false" customHeight="false" outlineLevel="0" collapsed="false">
      <c r="A10" s="8" t="s">
        <v>25</v>
      </c>
      <c r="B10" s="12" t="n">
        <v>25</v>
      </c>
    </row>
    <row r="12" customFormat="false" ht="15" hidden="false" customHeight="false" outlineLevel="0" collapsed="false">
      <c r="A12" s="13" t="s">
        <v>26</v>
      </c>
      <c r="B12" s="14" t="n">
        <f aca="false">B3*B4</f>
        <v>26800</v>
      </c>
    </row>
    <row r="13" customFormat="false" ht="15" hidden="false" customHeight="false" outlineLevel="0" collapsed="false">
      <c r="A13" s="15" t="s">
        <v>27</v>
      </c>
      <c r="B13" s="16" t="s">
        <v>28</v>
      </c>
    </row>
    <row r="14" customFormat="false" ht="15" hidden="false" customHeight="false" outlineLevel="0" collapsed="false">
      <c r="A14" s="4" t="s">
        <v>29</v>
      </c>
    </row>
    <row r="15" customFormat="false" ht="15" hidden="false" customHeight="false" outlineLevel="0" collapsed="false">
      <c r="A15" s="13" t="s">
        <v>30</v>
      </c>
      <c r="B15" s="17" t="n">
        <f aca="false">B5*B4</f>
        <v>2</v>
      </c>
    </row>
    <row r="16" customFormat="false" ht="15" hidden="false" customHeight="false" outlineLevel="0" collapsed="false">
      <c r="A16" s="15" t="s">
        <v>27</v>
      </c>
      <c r="B16" s="16" t="s">
        <v>31</v>
      </c>
    </row>
    <row r="17" customFormat="false" ht="15" hidden="false" customHeight="false" outlineLevel="0" collapsed="false">
      <c r="A17" s="13" t="s">
        <v>32</v>
      </c>
      <c r="B17" s="14" t="n">
        <f aca="false">B5/B4</f>
        <v>1250</v>
      </c>
    </row>
    <row r="18" customFormat="false" ht="15" hidden="false" customHeight="false" outlineLevel="0" collapsed="false">
      <c r="A18" s="15" t="s">
        <v>27</v>
      </c>
      <c r="B18" s="16" t="s">
        <v>33</v>
      </c>
    </row>
    <row r="19" customFormat="false" ht="15" hidden="false" customHeight="false" outlineLevel="0" collapsed="false">
      <c r="A19" s="13" t="s">
        <v>34</v>
      </c>
      <c r="B19" s="18" t="n">
        <f aca="false">B17/B5</f>
        <v>25</v>
      </c>
    </row>
    <row r="20" customFormat="false" ht="15" hidden="false" customHeight="false" outlineLevel="0" collapsed="false">
      <c r="A20" s="15" t="s">
        <v>27</v>
      </c>
      <c r="B20" s="16" t="s">
        <v>35</v>
      </c>
    </row>
    <row r="21" customFormat="false" ht="15" hidden="false" customHeight="false" outlineLevel="0" collapsed="false">
      <c r="A21" s="4" t="s">
        <v>36</v>
      </c>
    </row>
    <row r="22" customFormat="false" ht="15" hidden="false" customHeight="false" outlineLevel="0" collapsed="false">
      <c r="A22" s="13" t="s">
        <v>37</v>
      </c>
      <c r="B22" s="18" t="n">
        <f aca="false">MIN(B5,B12)</f>
        <v>50</v>
      </c>
    </row>
    <row r="23" customFormat="false" ht="15" hidden="false" customHeight="false" outlineLevel="0" collapsed="false">
      <c r="A23" s="15" t="s">
        <v>27</v>
      </c>
      <c r="B23" s="16" t="s">
        <v>38</v>
      </c>
    </row>
    <row r="24" customFormat="false" ht="15" hidden="false" customHeight="false" outlineLevel="0" collapsed="false">
      <c r="A24" s="4" t="s">
        <v>39</v>
      </c>
    </row>
    <row r="25" customFormat="false" ht="15" hidden="false" customHeight="false" outlineLevel="0" collapsed="false">
      <c r="A25" s="13" t="s">
        <v>40</v>
      </c>
      <c r="B25" s="17" t="n">
        <f aca="false">B12*B6/10^6</f>
        <v>27.4432</v>
      </c>
    </row>
    <row r="26" customFormat="false" ht="15" hidden="false" customHeight="false" outlineLevel="0" collapsed="false">
      <c r="A26" s="13" t="s">
        <v>41</v>
      </c>
      <c r="B26" s="17" t="n">
        <f aca="false">B10*B25*10^6/(B7*B8)</f>
        <v>8.93333333333333</v>
      </c>
    </row>
    <row r="27" customFormat="false" ht="15" hidden="false" customHeight="false" outlineLevel="0" collapsed="false">
      <c r="A27" s="15" t="s">
        <v>27</v>
      </c>
      <c r="B27" s="16" t="s">
        <v>42</v>
      </c>
    </row>
    <row r="28" customFormat="false" ht="15" hidden="false" customHeight="false" outlineLevel="0" collapsed="false">
      <c r="A28" s="13" t="s">
        <v>43</v>
      </c>
      <c r="B28" s="17" t="n">
        <f aca="false">B9*B25*10^6/(B7*B8)</f>
        <v>1.85813333333333</v>
      </c>
    </row>
    <row r="29" customFormat="false" ht="15" hidden="false" customHeight="false" outlineLevel="0" collapsed="false">
      <c r="A29" s="15" t="s">
        <v>27</v>
      </c>
      <c r="B29" s="16" t="s">
        <v>44</v>
      </c>
    </row>
    <row r="30" customFormat="false" ht="15" hidden="false" customHeight="false" outlineLevel="0" collapsed="false">
      <c r="A30" s="13" t="s">
        <v>45</v>
      </c>
      <c r="B30" s="18" t="n">
        <f aca="false">B10*B3*B6/(B7*B8)</f>
        <v>223.333333333333</v>
      </c>
    </row>
    <row r="32" customFormat="false" ht="15" hidden="false" customHeight="false" outlineLevel="0" collapsed="false">
      <c r="A32" s="19" t="s">
        <v>46</v>
      </c>
    </row>
    <row r="33" customFormat="false" ht="15" hidden="false" customHeight="false" outlineLevel="0" collapsed="false">
      <c r="A33" s="19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3" min="2" style="0" width="16"/>
  </cols>
  <sheetData>
    <row r="1" customFormat="false" ht="16.15" hidden="false" customHeight="false" outlineLevel="0" collapsed="false">
      <c r="A1" s="7" t="s">
        <v>48</v>
      </c>
    </row>
    <row r="3" customFormat="false" ht="15" hidden="false" customHeight="false" outlineLevel="0" collapsed="false">
      <c r="A3" s="8" t="s">
        <v>49</v>
      </c>
      <c r="B3" s="11" t="n">
        <v>5</v>
      </c>
    </row>
    <row r="4" customFormat="false" ht="15" hidden="false" customHeight="false" outlineLevel="0" collapsed="false">
      <c r="A4" s="8" t="s">
        <v>50</v>
      </c>
      <c r="B4" s="11" t="n">
        <v>3</v>
      </c>
    </row>
    <row r="6" customFormat="false" ht="35.05" hidden="false" customHeight="false" outlineLevel="0" collapsed="false">
      <c r="A6" s="20" t="s">
        <v>51</v>
      </c>
      <c r="B6" s="20" t="s">
        <v>52</v>
      </c>
      <c r="C6" s="20" t="s">
        <v>53</v>
      </c>
    </row>
    <row r="7" customFormat="false" ht="15" hidden="false" customHeight="false" outlineLevel="0" collapsed="false">
      <c r="A7" s="21" t="s">
        <v>54</v>
      </c>
      <c r="B7" s="11" t="n">
        <v>1</v>
      </c>
      <c r="C7" s="11" t="n">
        <v>1</v>
      </c>
    </row>
    <row r="8" customFormat="false" ht="15" hidden="false" customHeight="false" outlineLevel="0" collapsed="false">
      <c r="A8" s="21" t="s">
        <v>55</v>
      </c>
      <c r="B8" s="11" t="n">
        <v>1</v>
      </c>
      <c r="C8" s="11" t="n">
        <v>1</v>
      </c>
    </row>
    <row r="9" customFormat="false" ht="15" hidden="false" customHeight="false" outlineLevel="0" collapsed="false">
      <c r="A9" s="21"/>
      <c r="B9" s="11"/>
      <c r="C9" s="11"/>
    </row>
    <row r="11" customFormat="false" ht="35.05" hidden="false" customHeight="false" outlineLevel="0" collapsed="false">
      <c r="A11" s="20" t="s">
        <v>56</v>
      </c>
      <c r="B11" s="20" t="s">
        <v>57</v>
      </c>
      <c r="C11" s="20" t="s">
        <v>58</v>
      </c>
    </row>
    <row r="12" customFormat="false" ht="15" hidden="false" customHeight="false" outlineLevel="0" collapsed="false">
      <c r="A12" s="21" t="s">
        <v>59</v>
      </c>
      <c r="B12" s="11" t="n">
        <v>1</v>
      </c>
      <c r="C12" s="11" t="n">
        <v>1</v>
      </c>
    </row>
    <row r="13" customFormat="false" ht="15" hidden="false" customHeight="false" outlineLevel="0" collapsed="false">
      <c r="A13" s="21" t="s">
        <v>60</v>
      </c>
      <c r="B13" s="11" t="n">
        <v>1</v>
      </c>
      <c r="C13" s="11" t="n">
        <v>1</v>
      </c>
    </row>
    <row r="14" customFormat="false" ht="15" hidden="false" customHeight="false" outlineLevel="0" collapsed="false">
      <c r="A14" s="21" t="s">
        <v>61</v>
      </c>
      <c r="B14" s="11" t="n">
        <v>1</v>
      </c>
      <c r="C14" s="11" t="n">
        <v>0</v>
      </c>
    </row>
    <row r="15" customFormat="false" ht="15" hidden="false" customHeight="false" outlineLevel="0" collapsed="false">
      <c r="A15" s="21" t="s">
        <v>62</v>
      </c>
      <c r="B15" s="11" t="n">
        <v>0</v>
      </c>
      <c r="C15" s="11" t="n">
        <v>0</v>
      </c>
    </row>
    <row r="16" customFormat="false" ht="15" hidden="false" customHeight="false" outlineLevel="0" collapsed="false">
      <c r="A16" s="21"/>
      <c r="B16" s="11"/>
      <c r="C16" s="11"/>
    </row>
    <row r="17" customFormat="false" ht="15" hidden="false" customHeight="false" outlineLevel="0" collapsed="false">
      <c r="A17" s="21"/>
      <c r="B17" s="11"/>
      <c r="C17" s="11"/>
    </row>
    <row r="19" customFormat="false" ht="15" hidden="false" customHeight="false" outlineLevel="0" collapsed="false">
      <c r="A19" s="13" t="s">
        <v>63</v>
      </c>
      <c r="B19" s="22" t="n">
        <f aca="false">B4/B3</f>
        <v>0.6</v>
      </c>
    </row>
    <row r="20" customFormat="false" ht="15" hidden="false" customHeight="false" outlineLevel="0" collapsed="false">
      <c r="A20" s="15" t="s">
        <v>27</v>
      </c>
      <c r="B20" s="16" t="s">
        <v>64</v>
      </c>
    </row>
    <row r="21" customFormat="false" ht="15" hidden="false" customHeight="false" outlineLevel="0" collapsed="false">
      <c r="A21" s="13" t="s">
        <v>65</v>
      </c>
      <c r="B21" s="22" t="n">
        <f aca="false">SUM(B7:B9)/COUNT(B7:B9)</f>
        <v>1</v>
      </c>
    </row>
    <row r="22" customFormat="false" ht="15" hidden="false" customHeight="false" outlineLevel="0" collapsed="false">
      <c r="A22" s="15" t="s">
        <v>27</v>
      </c>
      <c r="B22" s="16" t="s">
        <v>66</v>
      </c>
    </row>
    <row r="23" customFormat="false" ht="15" hidden="false" customHeight="false" outlineLevel="0" collapsed="false">
      <c r="A23" s="13" t="s">
        <v>67</v>
      </c>
      <c r="B23" s="22" t="n">
        <f aca="false">IF(COUNT(B12:B17)=0,0,SUM(B12:B17)/COUNT(B12:B17))</f>
        <v>0.75</v>
      </c>
    </row>
    <row r="24" customFormat="false" ht="15" hidden="false" customHeight="false" outlineLevel="0" collapsed="false">
      <c r="A24" s="15" t="s">
        <v>27</v>
      </c>
      <c r="B24" s="16" t="s">
        <v>68</v>
      </c>
    </row>
    <row r="25" customFormat="false" ht="15" hidden="false" customHeight="false" outlineLevel="0" collapsed="false">
      <c r="A25" s="13" t="s">
        <v>69</v>
      </c>
      <c r="B25" s="18" t="n">
        <f aca="false">SUM(C12:C17)</f>
        <v>2</v>
      </c>
    </row>
    <row r="26" customFormat="false" ht="15" hidden="false" customHeight="false" outlineLevel="0" collapsed="false">
      <c r="A26" s="15" t="s">
        <v>27</v>
      </c>
      <c r="B26" s="16" t="s">
        <v>70</v>
      </c>
    </row>
    <row r="27" customFormat="false" ht="15" hidden="false" customHeight="false" outlineLevel="0" collapsed="false">
      <c r="A27" s="13" t="s">
        <v>71</v>
      </c>
      <c r="B27" s="18" t="n">
        <f aca="false">COUNT(C12:C17)-B25</f>
        <v>2</v>
      </c>
    </row>
    <row r="28" customFormat="false" ht="15" hidden="false" customHeight="false" outlineLevel="0" collapsed="false">
      <c r="A28" s="15" t="s">
        <v>27</v>
      </c>
      <c r="B28" s="16" t="s">
        <v>72</v>
      </c>
    </row>
    <row r="29" customFormat="false" ht="15" hidden="false" customHeight="false" outlineLevel="0" collapsed="false">
      <c r="A29" s="13" t="s">
        <v>73</v>
      </c>
      <c r="B29" s="18" t="n">
        <f aca="false">COUNT(C7:C9)-SUM(C7:C9)</f>
        <v>0</v>
      </c>
    </row>
    <row r="30" customFormat="false" ht="15" hidden="false" customHeight="false" outlineLevel="0" collapsed="false">
      <c r="A30" s="13" t="s">
        <v>74</v>
      </c>
      <c r="B30" s="22" t="n">
        <f aca="false">IF(B25=0,0,B25/(B25+0.5*(B27+B29)))</f>
        <v>0.666666666666667</v>
      </c>
    </row>
    <row r="31" customFormat="false" ht="15" hidden="false" customHeight="false" outlineLevel="0" collapsed="false">
      <c r="A31" s="15" t="s">
        <v>27</v>
      </c>
      <c r="B31" s="16" t="s">
        <v>75</v>
      </c>
    </row>
    <row r="32" customFormat="false" ht="15" hidden="false" customHeight="false" outlineLevel="0" collapsed="false">
      <c r="A32" s="13" t="s">
        <v>76</v>
      </c>
      <c r="B32" s="22" t="n">
        <f aca="false">IF(B25+B27=0,0,B25/(B25+B27))</f>
        <v>0.5</v>
      </c>
    </row>
    <row r="33" customFormat="false" ht="15" hidden="false" customHeight="false" outlineLevel="0" collapsed="false">
      <c r="A33" s="13" t="s">
        <v>77</v>
      </c>
      <c r="B33" s="22" t="n">
        <f aca="false">IF(B25+B29=0,0,B25/(B25+B29))</f>
        <v>1</v>
      </c>
    </row>
    <row r="34" customFormat="false" ht="35.05" hidden="false" customHeight="false" outlineLevel="0" collapsed="false">
      <c r="A34" s="13" t="s">
        <v>78</v>
      </c>
      <c r="B34" s="23" t="str">
        <f aca="false">IF(B21&lt;1,"retrieval: needed facts missing from the context",IF(B23&lt;1,IF(B33&lt;1,"generation: unsupported claims and reference facts omitted","generation: unsupported claims"),IF(B33&lt;1,"generation: supported but incomplete (reference facts omitted)",IF(B32&lt;1,"check: supported claims beyond the reference","no defect found"))))</f>
        <v>generation: unsupported claims</v>
      </c>
    </row>
    <row r="35" customFormat="false" ht="15" hidden="false" customHeight="false" outlineLevel="0" collapsed="false">
      <c r="A35" s="15" t="s">
        <v>27</v>
      </c>
      <c r="B35" s="16" t="s">
        <v>79</v>
      </c>
    </row>
    <row r="37" customFormat="false" ht="15" hidden="false" customHeight="false" outlineLevel="0" collapsed="false">
      <c r="A37" s="19" t="s">
        <v>80</v>
      </c>
    </row>
    <row r="38" customFormat="false" ht="15" hidden="false" customHeight="false" outlineLevel="0" collapsed="false">
      <c r="A38" s="19" t="s">
        <v>81</v>
      </c>
    </row>
    <row r="39" customFormat="false" ht="15" hidden="false" customHeight="false" outlineLevel="0" collapsed="false">
      <c r="A39" s="19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</cols>
  <sheetData>
    <row r="1" customFormat="false" ht="16.15" hidden="false" customHeight="false" outlineLevel="0" collapsed="false">
      <c r="A1" s="7" t="s">
        <v>83</v>
      </c>
    </row>
    <row r="3" customFormat="false" ht="15" hidden="false" customHeight="false" outlineLevel="0" collapsed="false">
      <c r="A3" s="8" t="s">
        <v>84</v>
      </c>
      <c r="B3" s="9" t="n">
        <v>50000</v>
      </c>
    </row>
    <row r="4" customFormat="false" ht="15" hidden="false" customHeight="false" outlineLevel="0" collapsed="false">
      <c r="A4" s="8" t="s">
        <v>85</v>
      </c>
      <c r="B4" s="9" t="n">
        <v>300</v>
      </c>
    </row>
    <row r="5" customFormat="false" ht="15" hidden="false" customHeight="false" outlineLevel="0" collapsed="false">
      <c r="A5" s="8" t="s">
        <v>86</v>
      </c>
      <c r="B5" s="9" t="n">
        <v>670000</v>
      </c>
    </row>
    <row r="6" customFormat="false" ht="15" hidden="false" customHeight="false" outlineLevel="0" collapsed="false">
      <c r="A6" s="8" t="s">
        <v>87</v>
      </c>
      <c r="B6" s="24" t="n">
        <v>0.2</v>
      </c>
    </row>
    <row r="7" customFormat="false" ht="15" hidden="false" customHeight="false" outlineLevel="0" collapsed="false">
      <c r="A7" s="8" t="s">
        <v>88</v>
      </c>
      <c r="B7" s="11" t="n">
        <v>5</v>
      </c>
    </row>
    <row r="8" customFormat="false" ht="15" hidden="false" customHeight="false" outlineLevel="0" collapsed="false">
      <c r="A8" s="8" t="s">
        <v>21</v>
      </c>
      <c r="B8" s="9" t="n">
        <v>1024</v>
      </c>
    </row>
    <row r="9" customFormat="false" ht="15" hidden="false" customHeight="false" outlineLevel="0" collapsed="false">
      <c r="A9" s="8" t="s">
        <v>89</v>
      </c>
      <c r="B9" s="11" t="n">
        <v>1</v>
      </c>
    </row>
    <row r="10" customFormat="false" ht="15" hidden="false" customHeight="false" outlineLevel="0" collapsed="false">
      <c r="A10" s="8" t="s">
        <v>90</v>
      </c>
      <c r="B10" s="11" t="n">
        <v>4</v>
      </c>
    </row>
    <row r="11" customFormat="false" ht="15" hidden="false" customHeight="false" outlineLevel="0" collapsed="false">
      <c r="A11" s="8" t="s">
        <v>91</v>
      </c>
      <c r="B11" s="11" t="n">
        <v>32</v>
      </c>
    </row>
    <row r="12" customFormat="false" ht="15" hidden="false" customHeight="false" outlineLevel="0" collapsed="false">
      <c r="A12" s="8" t="s">
        <v>92</v>
      </c>
      <c r="B12" s="11" t="n">
        <v>4</v>
      </c>
    </row>
    <row r="13" customFormat="false" ht="15" hidden="false" customHeight="false" outlineLevel="0" collapsed="false">
      <c r="A13" s="8" t="s">
        <v>93</v>
      </c>
      <c r="B13" s="12" t="n">
        <v>1.7</v>
      </c>
    </row>
    <row r="14" customFormat="false" ht="15" hidden="false" customHeight="false" outlineLevel="0" collapsed="false">
      <c r="A14" s="8" t="s">
        <v>94</v>
      </c>
      <c r="B14" s="9" t="n">
        <v>512</v>
      </c>
    </row>
    <row r="15" customFormat="false" ht="15" hidden="false" customHeight="false" outlineLevel="0" collapsed="false">
      <c r="A15" s="8" t="s">
        <v>95</v>
      </c>
      <c r="B15" s="12" t="n">
        <v>2.3</v>
      </c>
    </row>
    <row r="16" customFormat="false" ht="15" hidden="false" customHeight="false" outlineLevel="0" collapsed="false">
      <c r="A16" s="8" t="s">
        <v>96</v>
      </c>
      <c r="B16" s="24" t="n">
        <v>0.01</v>
      </c>
    </row>
    <row r="17" customFormat="false" ht="15" hidden="false" customHeight="false" outlineLevel="0" collapsed="false">
      <c r="A17" s="8" t="s">
        <v>97</v>
      </c>
      <c r="B17" s="25" t="n">
        <v>1.67</v>
      </c>
    </row>
    <row r="18" customFormat="false" ht="15" hidden="false" customHeight="false" outlineLevel="0" collapsed="false">
      <c r="A18" s="8" t="s">
        <v>98</v>
      </c>
      <c r="B18" s="11" t="n">
        <v>3</v>
      </c>
    </row>
    <row r="19" customFormat="false" ht="15" hidden="false" customHeight="false" outlineLevel="0" collapsed="false">
      <c r="A19" s="8" t="s">
        <v>99</v>
      </c>
      <c r="B19" s="11" t="n">
        <v>3</v>
      </c>
    </row>
    <row r="20" customFormat="false" ht="15" hidden="false" customHeight="false" outlineLevel="0" collapsed="false">
      <c r="A20" s="8" t="s">
        <v>100</v>
      </c>
      <c r="B20" s="12" t="n">
        <v>0.6</v>
      </c>
    </row>
    <row r="21" customFormat="false" ht="15" hidden="false" customHeight="false" outlineLevel="0" collapsed="false">
      <c r="A21" s="8" t="s">
        <v>101</v>
      </c>
      <c r="B21" s="11" t="n">
        <v>30</v>
      </c>
    </row>
    <row r="22" customFormat="false" ht="15" hidden="false" customHeight="false" outlineLevel="0" collapsed="false">
      <c r="A22" s="8" t="s">
        <v>102</v>
      </c>
      <c r="B22" s="11" t="n">
        <v>512</v>
      </c>
    </row>
    <row r="23" customFormat="false" ht="15" hidden="false" customHeight="false" outlineLevel="0" collapsed="false">
      <c r="A23" s="8" t="s">
        <v>103</v>
      </c>
      <c r="B23" s="11" t="n">
        <v>400</v>
      </c>
    </row>
    <row r="24" customFormat="false" ht="15" hidden="false" customHeight="false" outlineLevel="0" collapsed="false">
      <c r="A24" s="8" t="s">
        <v>104</v>
      </c>
      <c r="B24" s="24" t="n">
        <v>0.5</v>
      </c>
    </row>
    <row r="25" customFormat="false" ht="15" hidden="false" customHeight="false" outlineLevel="0" collapsed="false">
      <c r="A25" s="8" t="s">
        <v>105</v>
      </c>
      <c r="B25" s="11" t="n">
        <v>5</v>
      </c>
    </row>
    <row r="27" customFormat="false" ht="15" hidden="false" customHeight="false" outlineLevel="0" collapsed="false">
      <c r="A27" s="4" t="s">
        <v>106</v>
      </c>
    </row>
    <row r="28" customFormat="false" ht="15" hidden="false" customHeight="false" outlineLevel="0" collapsed="false">
      <c r="A28" s="13" t="s">
        <v>107</v>
      </c>
      <c r="B28" s="18" t="n">
        <f aca="false">B4*10^6/B5</f>
        <v>447.761194029851</v>
      </c>
    </row>
    <row r="29" customFormat="false" ht="15" hidden="false" customHeight="false" outlineLevel="0" collapsed="false">
      <c r="A29" s="13" t="s">
        <v>108</v>
      </c>
      <c r="B29" s="14" t="n">
        <f aca="false">B4*10^6/B3</f>
        <v>6000</v>
      </c>
    </row>
    <row r="30" customFormat="false" ht="15" hidden="false" customHeight="false" outlineLevel="0" collapsed="false">
      <c r="A30" s="13" t="s">
        <v>109</v>
      </c>
      <c r="B30" s="18" t="n">
        <f aca="false">2*B11*B12</f>
        <v>256</v>
      </c>
    </row>
    <row r="31" customFormat="false" ht="15" hidden="false" customHeight="false" outlineLevel="0" collapsed="false">
      <c r="A31" s="13" t="s">
        <v>110</v>
      </c>
      <c r="B31" s="14" t="n">
        <f aca="false">B8*B9+B30</f>
        <v>1280</v>
      </c>
    </row>
    <row r="32" customFormat="false" ht="15" hidden="false" customHeight="false" outlineLevel="0" collapsed="false">
      <c r="A32" s="13" t="s">
        <v>111</v>
      </c>
      <c r="B32" s="22" t="n">
        <f aca="false">B31/(B8*B9)</f>
        <v>1.25</v>
      </c>
    </row>
    <row r="33" customFormat="false" ht="15" hidden="false" customHeight="false" outlineLevel="0" collapsed="false">
      <c r="A33" s="15" t="s">
        <v>27</v>
      </c>
      <c r="B33" s="16" t="s">
        <v>112</v>
      </c>
    </row>
    <row r="34" customFormat="false" ht="15" hidden="false" customHeight="false" outlineLevel="0" collapsed="false">
      <c r="A34" s="13" t="s">
        <v>113</v>
      </c>
      <c r="B34" s="22" t="n">
        <f aca="false">B5*B31/10^9</f>
        <v>0.8576</v>
      </c>
    </row>
    <row r="35" customFormat="false" ht="15" hidden="false" customHeight="false" outlineLevel="0" collapsed="false">
      <c r="A35" s="15" t="s">
        <v>27</v>
      </c>
      <c r="B35" s="16" t="s">
        <v>114</v>
      </c>
    </row>
    <row r="36" customFormat="false" ht="15" hidden="false" customHeight="false" outlineLevel="0" collapsed="false">
      <c r="A36" s="13" t="s">
        <v>115</v>
      </c>
      <c r="B36" s="22" t="n">
        <f aca="false">B5*B8*B10/10^9</f>
        <v>2.74432</v>
      </c>
    </row>
    <row r="37" customFormat="false" ht="15" hidden="false" customHeight="false" outlineLevel="0" collapsed="false">
      <c r="A37" s="15" t="s">
        <v>27</v>
      </c>
      <c r="B37" s="16" t="s">
        <v>116</v>
      </c>
    </row>
    <row r="38" customFormat="false" ht="15" hidden="false" customHeight="false" outlineLevel="0" collapsed="false">
      <c r="A38" s="13" t="s">
        <v>117</v>
      </c>
      <c r="B38" s="14" t="n">
        <f aca="false">B8*B10+B30</f>
        <v>4352</v>
      </c>
    </row>
    <row r="39" customFormat="false" ht="15" hidden="false" customHeight="false" outlineLevel="0" collapsed="false">
      <c r="A39" s="13" t="s">
        <v>118</v>
      </c>
      <c r="B39" s="22" t="n">
        <f aca="false">B5*B38/10^9</f>
        <v>2.91584</v>
      </c>
    </row>
    <row r="40" customFormat="false" ht="15" hidden="false" customHeight="false" outlineLevel="0" collapsed="false">
      <c r="A40" s="15" t="s">
        <v>27</v>
      </c>
      <c r="B40" s="16" t="s">
        <v>119</v>
      </c>
    </row>
    <row r="41" customFormat="false" ht="15" hidden="false" customHeight="false" outlineLevel="0" collapsed="false">
      <c r="A41" s="13" t="s">
        <v>120</v>
      </c>
      <c r="B41" s="22" t="n">
        <f aca="false">(1+B6)^B7</f>
        <v>2.48832</v>
      </c>
    </row>
    <row r="42" customFormat="false" ht="15" hidden="false" customHeight="false" outlineLevel="0" collapsed="false">
      <c r="A42" s="15" t="s">
        <v>27</v>
      </c>
      <c r="B42" s="16" t="s">
        <v>121</v>
      </c>
    </row>
    <row r="43" customFormat="false" ht="15" hidden="false" customHeight="false" outlineLevel="0" collapsed="false">
      <c r="A43" s="13" t="s">
        <v>122</v>
      </c>
      <c r="B43" s="22" t="n">
        <f aca="false">B34*B41</f>
        <v>2.133983232</v>
      </c>
    </row>
    <row r="44" customFormat="false" ht="15" hidden="false" customHeight="false" outlineLevel="0" collapsed="false">
      <c r="A44" s="15" t="s">
        <v>27</v>
      </c>
      <c r="B44" s="16" t="s">
        <v>123</v>
      </c>
    </row>
    <row r="45" customFormat="false" ht="15" hidden="false" customHeight="false" outlineLevel="0" collapsed="false">
      <c r="A45" s="13" t="s">
        <v>124</v>
      </c>
      <c r="B45" s="17" t="n">
        <f aca="false">(B34+B36+B13)*B41</f>
        <v>13.1928735744</v>
      </c>
    </row>
    <row r="46" customFormat="false" ht="15" hidden="false" customHeight="false" outlineLevel="0" collapsed="false">
      <c r="A46" s="4" t="s">
        <v>125</v>
      </c>
    </row>
    <row r="47" customFormat="false" ht="15" hidden="false" customHeight="false" outlineLevel="0" collapsed="false">
      <c r="A47" s="13" t="s">
        <v>126</v>
      </c>
      <c r="B47" s="18" t="n">
        <f aca="false">B15*3600*B16</f>
        <v>82.8</v>
      </c>
    </row>
    <row r="48" customFormat="false" ht="15" hidden="false" customHeight="false" outlineLevel="0" collapsed="false">
      <c r="A48" s="15" t="s">
        <v>27</v>
      </c>
      <c r="B48" s="16" t="s">
        <v>127</v>
      </c>
    </row>
    <row r="49" customFormat="false" ht="15" hidden="false" customHeight="false" outlineLevel="0" collapsed="false">
      <c r="A49" s="4" t="s">
        <v>128</v>
      </c>
    </row>
    <row r="50" customFormat="false" ht="15" hidden="false" customHeight="false" outlineLevel="0" collapsed="false">
      <c r="A50" s="13" t="s">
        <v>129</v>
      </c>
      <c r="B50" s="26" t="n">
        <f aca="false">B17*B18/1000</f>
        <v>0.00501</v>
      </c>
    </row>
    <row r="51" customFormat="false" ht="15" hidden="false" customHeight="false" outlineLevel="0" collapsed="false">
      <c r="A51" s="15" t="s">
        <v>27</v>
      </c>
      <c r="B51" s="16" t="s">
        <v>130</v>
      </c>
    </row>
    <row r="52" customFormat="false" ht="15" hidden="false" customHeight="false" outlineLevel="0" collapsed="false">
      <c r="A52" s="13" t="s">
        <v>131</v>
      </c>
      <c r="B52" s="26" t="n">
        <f aca="false">B17*B19/1000</f>
        <v>0.00501</v>
      </c>
    </row>
    <row r="53" customFormat="false" ht="15" hidden="false" customHeight="false" outlineLevel="0" collapsed="false">
      <c r="A53" s="15" t="s">
        <v>27</v>
      </c>
      <c r="B53" s="16" t="s">
        <v>130</v>
      </c>
    </row>
    <row r="54" customFormat="false" ht="15" hidden="false" customHeight="false" outlineLevel="0" collapsed="false">
      <c r="A54" s="13" t="s">
        <v>132</v>
      </c>
      <c r="B54" s="27" t="n">
        <f aca="false">2*B20*10^9</f>
        <v>1200000000</v>
      </c>
    </row>
    <row r="55" customFormat="false" ht="15" hidden="false" customHeight="false" outlineLevel="0" collapsed="false">
      <c r="A55" s="15" t="s">
        <v>27</v>
      </c>
      <c r="B55" s="16" t="s">
        <v>133</v>
      </c>
    </row>
    <row r="56" customFormat="false" ht="15" hidden="false" customHeight="false" outlineLevel="0" collapsed="false">
      <c r="A56" s="13" t="s">
        <v>134</v>
      </c>
      <c r="B56" s="27" t="n">
        <f aca="false">B17*B21*B22*B54</f>
        <v>30781440000000</v>
      </c>
    </row>
    <row r="57" customFormat="false" ht="15" hidden="false" customHeight="false" outlineLevel="0" collapsed="false">
      <c r="A57" s="15" t="s">
        <v>27</v>
      </c>
      <c r="B57" s="16" t="s">
        <v>135</v>
      </c>
    </row>
    <row r="58" customFormat="false" ht="15" hidden="false" customHeight="false" outlineLevel="0" collapsed="false">
      <c r="A58" s="13" t="s">
        <v>136</v>
      </c>
      <c r="B58" s="26" t="n">
        <f aca="false">B56/(B23*10^12)</f>
        <v>0.0769536</v>
      </c>
    </row>
    <row r="59" customFormat="false" ht="15" hidden="false" customHeight="false" outlineLevel="0" collapsed="false">
      <c r="A59" s="15" t="s">
        <v>27</v>
      </c>
      <c r="B59" s="16" t="s">
        <v>137</v>
      </c>
    </row>
    <row r="60" customFormat="false" ht="15" hidden="false" customHeight="false" outlineLevel="0" collapsed="false">
      <c r="A60" s="13" t="s">
        <v>138</v>
      </c>
      <c r="B60" s="26" t="n">
        <f aca="false">B56/(B23*B24*10^12)</f>
        <v>0.1539072</v>
      </c>
    </row>
    <row r="61" customFormat="false" ht="15" hidden="false" customHeight="false" outlineLevel="0" collapsed="false">
      <c r="A61" s="15" t="s">
        <v>27</v>
      </c>
      <c r="B61" s="16" t="s">
        <v>139</v>
      </c>
    </row>
    <row r="62" customFormat="false" ht="15" hidden="false" customHeight="false" outlineLevel="0" collapsed="false">
      <c r="A62" s="13" t="s">
        <v>140</v>
      </c>
      <c r="B62" s="26" t="n">
        <f aca="false">B56/(B23*10^12*B25)</f>
        <v>0.01539072</v>
      </c>
    </row>
    <row r="63" customFormat="false" ht="15" hidden="false" customHeight="false" outlineLevel="0" collapsed="false">
      <c r="A63" s="4" t="s">
        <v>141</v>
      </c>
    </row>
    <row r="64" customFormat="false" ht="15" hidden="false" customHeight="false" outlineLevel="0" collapsed="false">
      <c r="A64" s="13" t="s">
        <v>142</v>
      </c>
      <c r="B64" s="18" t="n">
        <f aca="false">B14*10^9/B38/10^6</f>
        <v>117.647058823529</v>
      </c>
    </row>
    <row r="65" customFormat="false" ht="15" hidden="false" customHeight="false" outlineLevel="0" collapsed="false">
      <c r="A65" s="15" t="s">
        <v>27</v>
      </c>
      <c r="B65" s="16" t="s">
        <v>143</v>
      </c>
    </row>
    <row r="66" customFormat="false" ht="15" hidden="false" customHeight="false" outlineLevel="0" collapsed="false">
      <c r="A66" s="13" t="s">
        <v>144</v>
      </c>
      <c r="B66" s="18" t="n">
        <f aca="false">B64*B28/1000</f>
        <v>52.6777875329236</v>
      </c>
    </row>
    <row r="67" customFormat="false" ht="15" hidden="false" customHeight="false" outlineLevel="0" collapsed="false">
      <c r="A67" s="15" t="s">
        <v>27</v>
      </c>
      <c r="B67" s="16" t="s">
        <v>145</v>
      </c>
    </row>
    <row r="68" customFormat="false" ht="15" hidden="false" customHeight="false" outlineLevel="0" collapsed="false">
      <c r="A68" s="13" t="s">
        <v>146</v>
      </c>
      <c r="B68" s="18" t="n">
        <f aca="false">B14*10^9/B31/10^6</f>
        <v>400</v>
      </c>
    </row>
    <row r="69" customFormat="false" ht="15" hidden="false" customHeight="false" outlineLevel="0" collapsed="false">
      <c r="A69" s="15" t="s">
        <v>27</v>
      </c>
      <c r="B69" s="16" t="s">
        <v>147</v>
      </c>
    </row>
    <row r="71" customFormat="false" ht="15" hidden="false" customHeight="false" outlineLevel="0" collapsed="false">
      <c r="A71" s="19" t="s">
        <v>148</v>
      </c>
    </row>
    <row r="72" customFormat="false" ht="15" hidden="false" customHeight="false" outlineLevel="0" collapsed="false">
      <c r="A72" s="19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2026-10-26T14:22:47Z</dcterms:created>
  <dc:creator>openpyxl</dc:creator>
  <dc:description/>
  <dc:language>en-US</dc:language>
  <cp:lastModifiedBy/>
  <dcterms:modified xsi:type="dcterms:W3CDTF">2026-10-26T14:22:47Z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