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Latency" sheetId="2" state="visible" r:id="rId4"/>
    <sheet name="Routing" sheetId="3" state="visible" r:id="rId5"/>
    <sheet name="Case Study" sheetId="4" state="visible" r:id="rId6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<sst xmlns="http://schemas.openxmlformats.org/spreadsheetml/2006/main" count="131" uniqueCount="123">
  <si>
    <t xml:space="preserve">Chapter 24 — Multi-Agent Orchestration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</si>
  <si>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</si>
  <si>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</si>
  <si>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</si>
  <si>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</si>
  <si>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Latency</t>
  </si>
  <si>
    <t xml:space="preserve">End-to-end and first-word latency of sequential and concurrent retrieval in a multi-agent request, with and without streaming.</t>
  </si>
  <si>
    <t xml:space="preserve">Section 24.2, Worked Example 24.1</t>
  </si>
  <si>
    <t xml:space="preserve">Routing</t>
  </si>
  <si>
    <t xml:space="preserve">Daily cost of the corporate assistant with the strong cloud model for every permitted request against a router that keeps routine work on the Rack, at two cloud price tiers, and the router's own GPU cost.</t>
  </si>
  <si>
    <t xml:space="preserve">Section 24.4, Worked Example 24.2</t>
  </si>
  <si>
    <t xml:space="preserve">Case Study</t>
  </si>
  <si>
    <t xml:space="preserve">Tokens per agent call and the cost of one weekly progress report, all local, with a cloud synthesizer for comparison, and the single-agent alternative.</t>
  </si>
  <si>
    <t xml:space="preserve">Section 24.5, Worked Example 24.3, Table 24.2</t>
  </si>
  <si>
    <t xml:space="preserve">Notes</t>
  </si>
  <si>
    <t xml:space="preserve">Prices in US$ per million tokens, as assumed in the text (October 2026). The Rack's internal cost is an assumption of the text (Section 29.2 gives the method).</t>
  </si>
  <si>
    <t xml:space="preserve">Stage latencies and token counts of the case study are illustrative estimates, as the text states; replace them with measurements on your own system.</t>
  </si>
  <si>
    <t xml:space="preserve">Compute rates for the router are taken from Worked Examples 15.2 and 33.2 and the GPU-hour cost from Worked Example 29.2, cited in the labels.</t>
  </si>
  <si>
    <t xml:space="preserve">Sequential versus Concurrent Retrieval (Worked Example 24.1)</t>
  </si>
  <si>
    <t xml:space="preserve">Classifier (s)</t>
  </si>
  <si>
    <t xml:space="preserve">Internal retrieval (s)</t>
  </si>
  <si>
    <t xml:space="preserve">Summarizer: local 8B model, 300 output tokens (s)</t>
  </si>
  <si>
    <t xml:space="preserve">External retrieval with web search (s)</t>
  </si>
  <si>
    <t xml:space="preserve">Synthesizer: 500 output tokens (s)</t>
  </si>
  <si>
    <t xml:space="preserve">Guardrail checks (s)</t>
  </si>
  <si>
    <t xml:space="preserve">Synthesizer time to first token when streaming (s)</t>
  </si>
  <si>
    <t xml:space="preserve">Result</t>
  </si>
  <si>
    <t xml:space="preserve">Workbook</t>
  </si>
  <si>
    <t xml:space="preserve">Value in the book</t>
  </si>
  <si>
    <t xml:space="preserve">Sequential: end to end (s)</t>
  </si>
  <si>
    <t xml:space="preserve">Internal branch: retrieval + summary (s)</t>
  </si>
  <si>
    <t xml:space="preserve">Concurrent: end to end (s)</t>
  </si>
  <si>
    <t xml:space="preserve">Concurrent plan is faster by</t>
  </si>
  <si>
    <t xml:space="preserve">Dependent public query (case study): end to end (s)</t>
  </si>
  <si>
    <t xml:space="preserve">Streaming, concurrent: first words (s)</t>
  </si>
  <si>
    <t xml:space="preserve">Streaming, sequential: first words (s)</t>
  </si>
  <si>
    <t xml:space="preserve">Delivery waits for guardrails, concurrent: answer seen (s)</t>
  </si>
  <si>
    <t xml:space="preserve">Delivery waits for guardrails, sequential: answer seen (s)</t>
  </si>
  <si>
    <t xml:space="preserve">Synthesis share of the concurrent time</t>
  </si>
  <si>
    <t xml:space="preserve">Assumed stage latencies on a recommended Box (Table P.3), in round figures. Streaming figures assume the guardrail checks run incrementally on the streamed text.</t>
  </si>
  <si>
    <t xml:space="preserve">Reading: parallelism shortens only the part that overlaps; the final synthesis dominates. Worked Example 35.2 times the case study, with its longer report, at about 15 s (Ch35 workbook).</t>
  </si>
  <si>
    <t xml:space="preserve">Routing the Corporate Assistant (Worked Example 24.2)</t>
  </si>
  <si>
    <t xml:space="preserve">Requests a day</t>
  </si>
  <si>
    <t xml:space="preserve">Input per request (tokens)</t>
  </si>
  <si>
    <t xml:space="preserve">Output per request (tokens)</t>
  </si>
  <si>
    <t xml:space="preserve">Strong cloud model: input price (US$ per million tokens)</t>
  </si>
  <si>
    <t xml:space="preserve">Strong cloud model: output price (US$ per million tokens)</t>
  </si>
  <si>
    <t xml:space="preserve">Mid-tier cloud model: input price (US$ per million; Table 27.3)</t>
  </si>
  <si>
    <t xml:space="preserve">Mid-tier cloud model: output price (US$ per million; Table 27.3)</t>
  </si>
  <si>
    <t xml:space="preserve">Rack, gpt-oss-120b: internal input cost (US$ per million; assumed)</t>
  </si>
  <si>
    <t xml:space="preserve">Rack, gpt-oss-120b: internal output cost (US$ per million; assumed)</t>
  </si>
  <si>
    <t xml:space="preserve">Share of requests that policy keeps on the Rack (R4, or R3 other than drafting)</t>
  </si>
  <si>
    <t xml:space="preserve">Router: share of permitted requests kept on the Rack</t>
  </si>
  <si>
    <t xml:space="preserve">Router: tokens read per request</t>
  </si>
  <si>
    <t xml:space="preserve">Router classifier, upper case (billion parameters)</t>
  </si>
  <si>
    <t xml:space="preserve">Effective compute in FP8 (TFLOP/s; Worked Example 15.2)</t>
  </si>
  <si>
    <t xml:space="preserve">Effective compute in BF16 (TFLOP/s; Worked Example 33.2)</t>
  </si>
  <si>
    <t xml:space="preserve">GPU-hour cost (US$; Worked Example 29.2)</t>
  </si>
  <si>
    <t xml:space="preserve">Strong cloud cost per request (US$)</t>
  </si>
  <si>
    <t xml:space="preserve">Rack cost per request (US$)</t>
  </si>
  <si>
    <t xml:space="preserve">Requests permitted in the cloud</t>
  </si>
  <si>
    <t xml:space="preserve">All-strong: cloud cost a day (US$)</t>
  </si>
  <si>
    <t xml:space="preserve">All-strong: Rack cost a day (US$)</t>
  </si>
  <si>
    <t xml:space="preserve">All-strong: total a day (US$)</t>
  </si>
  <si>
    <t xml:space="preserve">Routed: requests escalated to the cloud</t>
  </si>
  <si>
    <t xml:space="preserve">Routed: cloud cost a day (US$)</t>
  </si>
  <si>
    <t xml:space="preserve">Routed: Rack cost a day (US$)</t>
  </si>
  <si>
    <t xml:space="preserve">Routed: total a day (US$)</t>
  </si>
  <si>
    <t xml:space="preserve">Saving from routing</t>
  </si>
  <si>
    <t xml:space="preserve">Mid-tier cloud cost per request (US$)</t>
  </si>
  <si>
    <t xml:space="preserve">Mid-tier, all-strong: total a day (US$)</t>
  </si>
  <si>
    <t xml:space="preserve">Mid-tier, routed: total a day (US$)</t>
  </si>
  <si>
    <t xml:space="preserve">Mid-tier saving from routing</t>
  </si>
  <si>
    <t xml:space="preserve">Router: tokens read a day (millions)</t>
  </si>
  <si>
    <t xml:space="preserve">Router: prefill compute a day (FLOP)</t>
  </si>
  <si>
    <t xml:space="preserve">Router: GPU time in FP8 (minutes a day)</t>
  </si>
  <si>
    <t xml:space="preserve">Router: GPU time in BF16 (minutes a day)</t>
  </si>
  <si>
    <t xml:space="preserve">&lt; 60</t>
  </si>
  <si>
    <t xml:space="preserve">Router: cost a day in FP8 (US$)</t>
  </si>
  <si>
    <t xml:space="preserve">Router: cost a day in BF16 (US$)</t>
  </si>
  <si>
    <t xml:space="preserve">Saving from routing after the BF16 router cost</t>
  </si>
  <si>
    <t xml:space="preserve">&gt; 60%</t>
  </si>
  <si>
    <t xml:space="preserve">Policy first, optimization second: requests that must stay on the Rack never reach the cloud; the router only chooses among the permitted models.</t>
  </si>
  <si>
    <t xml:space="preserve">Router cost: an 8B classifier reads 3,000 tokens a request at 2 FLOP per parameter per token, 4.8 × 10^17 FLOP a day: 20 minutes in FP8 at 400 TFLOP/s (about US$0.97) or 53 minutes in BF16 at 150 TFLOP/s (about US$2.58) at US$2.90 per GPU-hour, before orchestration overhead, as in the book. The saving stays above 60% (60.5% with the BF16 cost).</t>
  </si>
  <si>
    <t xml:space="preserve">Tokens and Cost of One Weekly Report (Worked Example 24.3)</t>
  </si>
  <si>
    <t xml:space="preserve">Token counts per agent call</t>
  </si>
  <si>
    <t xml:space="preserve">Agent call</t>
  </si>
  <si>
    <t xml:space="preserve">Input (tokens)</t>
  </si>
  <si>
    <t xml:space="preserve">Output (tokens)</t>
  </si>
  <si>
    <t xml:space="preserve">Classifier</t>
  </si>
  <si>
    <t xml:space="preserve">Summarizer</t>
  </si>
  <si>
    <t xml:space="preserve">External retrieval with query generation</t>
  </si>
  <si>
    <t xml:space="preserve">Guardrail classifier</t>
  </si>
  <si>
    <t xml:space="preserve">Synthesizer and retrieval</t>
  </si>
  <si>
    <t xml:space="preserve">Synthesizer instructions (tokens)</t>
  </si>
  <si>
    <t xml:space="preserve">Internal retrieval: chunks returned</t>
  </si>
  <si>
    <t xml:space="preserve">External retrieval: passages returned</t>
  </si>
  <si>
    <t xml:space="preserve">Tokens per chunk or passage</t>
  </si>
  <si>
    <t xml:space="preserve">Synthesizer output (tokens)</t>
  </si>
  <si>
    <t xml:space="preserve">Prices and scale</t>
  </si>
  <si>
    <t xml:space="preserve">Rack internal cost, input (US$ per million; Worked Example 24.2)</t>
  </si>
  <si>
    <t xml:space="preserve">Rack internal cost, output (US$ per million; Worked Example 24.2)</t>
  </si>
  <si>
    <t xml:space="preserve">Employees writing a weekly report</t>
  </si>
  <si>
    <t xml:space="preserve">Strong cloud model: input price (US$ per million)</t>
  </si>
  <si>
    <t xml:space="preserve">Strong cloud model: output price (US$ per million)</t>
  </si>
  <si>
    <t xml:space="preserve">Single-agent alternative: input (tokens)</t>
  </si>
  <si>
    <t xml:space="preserve">Single-agent alternative: output (tokens)</t>
  </si>
  <si>
    <t xml:space="preserve">Retrieved chunks read by the summarizer (tokens)</t>
  </si>
  <si>
    <t xml:space="preserve">Strategies passed to the synthesizer (tokens)</t>
  </si>
  <si>
    <t xml:space="preserve">Synthesizer input: instructions + summary + strategies (tokens)</t>
  </si>
  <si>
    <t xml:space="preserve">Total input (tokens)</t>
  </si>
  <si>
    <t xml:space="preserve">Total output (tokens)</t>
  </si>
  <si>
    <t xml:space="preserve">Tokens processed on the Rack: the classifier (tokens; Worked Example 35.2)</t>
  </si>
  <si>
    <t xml:space="preserve">Input at the Rack's rates (US$)</t>
  </si>
  <si>
    <t xml:space="preserve">Output at the Rack's rates (US$)</t>
  </si>
  <si>
    <t xml:space="preserve">Cost per report at the Rack's rates (US$)</t>
  </si>
  <si>
    <t xml:space="preserve">Cost a week for all employees (US$)</t>
  </si>
  <si>
    <t xml:space="preserve">Synthesizer on the strong cloud model, that call alone (US$)</t>
  </si>
  <si>
    <t xml:space="preserve">Synthesizer on the mid-tier cloud model (US$)</t>
  </si>
  <si>
    <t xml:space="preserve">Single-agent alternative at the Rack's rates (US$)</t>
  </si>
  <si>
    <t xml:space="preserve">cheaper</t>
  </si>
  <si>
    <t xml:space="preserve">All but the classifier run on the user's Box (Personal data may not be processed on the Rack; Table 30.5), so the marginal cost is the Box's electricity; the Rack's rates give a comparison. The cloud synthesizer is denied by Table 30.5 and is shown for comparison only.</t>
  </si>
  <si>
    <t xml:space="preserve">Reading: the multi-agent design is justified by data separation and testability rather than cost or quality. Worked Example 35.2 (Ch35 workbook) times the same token counts on the Box.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</si>
</sst>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"/>
    <numFmt numFmtId="166" formatCode="0%"/>
    <numFmt numFmtId="167" formatCode="#,##0"/>
    <numFmt numFmtId="168" formatCode="0.00"/>
    <numFmt numFmtId="169" formatCode="0"/>
    <numFmt numFmtId="170" formatCode="0.0000"/>
    <numFmt numFmtId="171" formatCode="0.00000"/>
    <numFmt numFmtId="172" formatCode="0.00E+00"/>
    <numFmt numFmtId="173" formatCode="0.0%"/>
    <numFmt numFmtId="174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35.0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23.85" hidden="false" customHeight="false" outlineLevel="0" collapsed="false">
      <c r="A7" s="4" t="s">
        <v>11</v>
      </c>
      <c r="B7" s="5" t="s">
        <v>12</v>
      </c>
      <c r="C7" s="5" t="s">
        <v>13</v>
      </c>
    </row>
    <row r="9" customFormat="false" ht="15" hidden="false" customHeight="false" outlineLevel="0" collapsed="false">
      <c r="A9" s="4" t="s">
        <v>14</v>
      </c>
    </row>
    <row r="10" customFormat="false" ht="30" hidden="false" customHeight="true" outlineLevel="0" collapsed="false">
      <c r="A10" s="6" t="s">
        <v>15</v>
      </c>
      <c r="B10" s="6"/>
      <c r="C10" s="6"/>
    </row>
    <row r="11" customFormat="false" ht="30" hidden="false" customHeight="true" outlineLevel="0" collapsed="false">
      <c r="A11" s="6" t="s">
        <v>16</v>
      </c>
      <c r="B11" s="6"/>
      <c r="C11" s="6"/>
    </row>
    <row r="12" customFormat="false" ht="30" hidden="false" customHeight="true" outlineLevel="0" collapsed="false">
      <c r="A12" s="6" t="s">
        <v>17</v>
      </c>
      <c r="B12" s="6"/>
      <c r="C12" s="6"/>
    </row>
  </sheetData>
  <mergeCells count="4">
    <mergeCell ref="A2:C2"/>
    <mergeCell ref="A10:C10"/>
    <mergeCell ref="A11:C11"/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7" t="s">
        <v>18</v>
      </c>
    </row>
    <row r="3" customFormat="false" ht="15" hidden="false" customHeight="false" outlineLevel="0" collapsed="false">
      <c r="A3" s="8" t="s">
        <v>19</v>
      </c>
      <c r="B3" s="9" t="n">
        <v>0.6</v>
      </c>
    </row>
    <row r="4" customFormat="false" ht="15" hidden="false" customHeight="false" outlineLevel="0" collapsed="false">
      <c r="A4" s="8" t="s">
        <v>20</v>
      </c>
      <c r="B4" s="9" t="n">
        <v>0.4</v>
      </c>
    </row>
    <row r="5" customFormat="false" ht="15" hidden="false" customHeight="false" outlineLevel="0" collapsed="false">
      <c r="A5" s="8" t="s">
        <v>21</v>
      </c>
      <c r="B5" s="9" t="n">
        <v>3</v>
      </c>
    </row>
    <row r="6" customFormat="false" ht="15" hidden="false" customHeight="false" outlineLevel="0" collapsed="false">
      <c r="A6" s="8" t="s">
        <v>22</v>
      </c>
      <c r="B6" s="9" t="n">
        <v>2.5</v>
      </c>
    </row>
    <row r="7" customFormat="false" ht="15" hidden="false" customHeight="false" outlineLevel="0" collapsed="false">
      <c r="A7" s="8" t="s">
        <v>23</v>
      </c>
      <c r="B7" s="9" t="n">
        <v>6</v>
      </c>
    </row>
    <row r="8" customFormat="false" ht="15" hidden="false" customHeight="false" outlineLevel="0" collapsed="false">
      <c r="A8" s="8" t="s">
        <v>24</v>
      </c>
      <c r="B8" s="9" t="n">
        <v>0.5</v>
      </c>
    </row>
    <row r="9" customFormat="false" ht="15" hidden="false" customHeight="false" outlineLevel="0" collapsed="false">
      <c r="A9" s="8" t="s">
        <v>25</v>
      </c>
      <c r="B9" s="9" t="n">
        <v>0.5</v>
      </c>
    </row>
    <row r="11" customFormat="false" ht="15" hidden="false" customHeight="false" outlineLevel="0" collapsed="false">
      <c r="A11" s="10" t="s">
        <v>26</v>
      </c>
      <c r="B11" s="10" t="s">
        <v>27</v>
      </c>
      <c r="C11" s="10" t="s">
        <v>28</v>
      </c>
    </row>
    <row r="12" customFormat="false" ht="15" hidden="false" customHeight="false" outlineLevel="0" collapsed="false">
      <c r="A12" s="11" t="s">
        <v>29</v>
      </c>
      <c r="B12" s="12" t="n">
        <f aca="false">$B$3+$B$4+$B$5+$B$6+$B$7+$B$8</f>
        <v>13</v>
      </c>
      <c r="C12" s="13" t="n">
        <v>13</v>
      </c>
    </row>
    <row r="13" customFormat="false" ht="15" hidden="false" customHeight="false" outlineLevel="0" collapsed="false">
      <c r="A13" s="11" t="s">
        <v>30</v>
      </c>
      <c r="B13" s="12" t="n">
        <f aca="false">$B$4+$B$5</f>
        <v>3.4</v>
      </c>
      <c r="C13" s="13" t="n">
        <v>3.4</v>
      </c>
    </row>
    <row r="14" customFormat="false" ht="15" hidden="false" customHeight="false" outlineLevel="0" collapsed="false">
      <c r="A14" s="11" t="s">
        <v>31</v>
      </c>
      <c r="B14" s="12" t="n">
        <f aca="false">$B$3+MAX($B$13,$B$6)+$B$7+$B$8</f>
        <v>10.5</v>
      </c>
      <c r="C14" s="13" t="n">
        <v>10.5</v>
      </c>
    </row>
    <row r="15" customFormat="false" ht="15" hidden="false" customHeight="false" outlineLevel="0" collapsed="false">
      <c r="A15" s="11" t="s">
        <v>32</v>
      </c>
      <c r="B15" s="14" t="n">
        <f aca="false">1-$B$14/$B$12</f>
        <v>0.192307692307692</v>
      </c>
      <c r="C15" s="15" t="n">
        <v>0.19</v>
      </c>
    </row>
    <row r="16" customFormat="false" ht="15" hidden="false" customHeight="false" outlineLevel="0" collapsed="false">
      <c r="A16" s="11" t="s">
        <v>33</v>
      </c>
      <c r="B16" s="12" t="n">
        <f aca="false">$B$12</f>
        <v>13</v>
      </c>
      <c r="C16" s="13" t="n">
        <v>13</v>
      </c>
    </row>
    <row r="17" customFormat="false" ht="15" hidden="false" customHeight="false" outlineLevel="0" collapsed="false">
      <c r="A17" s="11" t="s">
        <v>34</v>
      </c>
      <c r="B17" s="12" t="n">
        <f aca="false">$B$3+MAX($B$13,$B$6)+$B$9</f>
        <v>4.5</v>
      </c>
      <c r="C17" s="13" t="n">
        <v>4.5</v>
      </c>
    </row>
    <row r="18" customFormat="false" ht="15" hidden="false" customHeight="false" outlineLevel="0" collapsed="false">
      <c r="A18" s="11" t="s">
        <v>35</v>
      </c>
      <c r="B18" s="12" t="n">
        <f aca="false">$B$3+$B$4+$B$5+$B$6+$B$9</f>
        <v>7</v>
      </c>
      <c r="C18" s="13" t="n">
        <v>7</v>
      </c>
    </row>
    <row r="19" customFormat="false" ht="15" hidden="false" customHeight="false" outlineLevel="0" collapsed="false">
      <c r="A19" s="11" t="s">
        <v>36</v>
      </c>
      <c r="B19" s="12" t="n">
        <f aca="false">$B$14</f>
        <v>10.5</v>
      </c>
      <c r="C19" s="13" t="n">
        <v>10.5</v>
      </c>
    </row>
    <row r="20" customFormat="false" ht="15" hidden="false" customHeight="false" outlineLevel="0" collapsed="false">
      <c r="A20" s="11" t="s">
        <v>37</v>
      </c>
      <c r="B20" s="12" t="n">
        <f aca="false">$B$12</f>
        <v>13</v>
      </c>
      <c r="C20" s="13" t="n">
        <v>13</v>
      </c>
    </row>
    <row r="21" customFormat="false" ht="15" hidden="false" customHeight="false" outlineLevel="0" collapsed="false">
      <c r="A21" s="11" t="s">
        <v>38</v>
      </c>
      <c r="B21" s="14" t="n">
        <f aca="false">$B$7/$B$14</f>
        <v>0.571428571428571</v>
      </c>
    </row>
    <row r="23" customFormat="false" ht="15" hidden="false" customHeight="false" outlineLevel="0" collapsed="false">
      <c r="A23" s="16" t="s">
        <v>39</v>
      </c>
    </row>
    <row r="24" customFormat="false" ht="15" hidden="false" customHeight="false" outlineLevel="0" collapsed="false">
      <c r="A24" s="16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7" t="s">
        <v>41</v>
      </c>
    </row>
    <row r="3" customFormat="false" ht="15" hidden="false" customHeight="false" outlineLevel="0" collapsed="false">
      <c r="A3" s="8" t="s">
        <v>42</v>
      </c>
      <c r="B3" s="17" t="n">
        <v>10000</v>
      </c>
    </row>
    <row r="4" customFormat="false" ht="15" hidden="false" customHeight="false" outlineLevel="0" collapsed="false">
      <c r="A4" s="8" t="s">
        <v>43</v>
      </c>
      <c r="B4" s="17" t="n">
        <v>3000</v>
      </c>
    </row>
    <row r="5" customFormat="false" ht="15" hidden="false" customHeight="false" outlineLevel="0" collapsed="false">
      <c r="A5" s="8" t="s">
        <v>44</v>
      </c>
      <c r="B5" s="17" t="n">
        <v>500</v>
      </c>
    </row>
    <row r="6" customFormat="false" ht="15" hidden="false" customHeight="false" outlineLevel="0" collapsed="false">
      <c r="A6" s="8" t="s">
        <v>45</v>
      </c>
      <c r="B6" s="18" t="n">
        <v>3</v>
      </c>
    </row>
    <row r="7" customFormat="false" ht="15" hidden="false" customHeight="false" outlineLevel="0" collapsed="false">
      <c r="A7" s="8" t="s">
        <v>46</v>
      </c>
      <c r="B7" s="18" t="n">
        <v>15</v>
      </c>
    </row>
    <row r="8" customFormat="false" ht="15" hidden="false" customHeight="false" outlineLevel="0" collapsed="false">
      <c r="A8" s="8" t="s">
        <v>47</v>
      </c>
      <c r="B8" s="18" t="n">
        <v>2</v>
      </c>
    </row>
    <row r="9" customFormat="false" ht="15" hidden="false" customHeight="false" outlineLevel="0" collapsed="false">
      <c r="A9" s="8" t="s">
        <v>48</v>
      </c>
      <c r="B9" s="18" t="n">
        <v>10</v>
      </c>
    </row>
    <row r="10" customFormat="false" ht="15" hidden="false" customHeight="false" outlineLevel="0" collapsed="false">
      <c r="A10" s="8" t="s">
        <v>49</v>
      </c>
      <c r="B10" s="18" t="n">
        <v>0.25</v>
      </c>
    </row>
    <row r="11" customFormat="false" ht="15" hidden="false" customHeight="false" outlineLevel="0" collapsed="false">
      <c r="A11" s="8" t="s">
        <v>50</v>
      </c>
      <c r="B11" s="18" t="n">
        <v>1</v>
      </c>
    </row>
    <row r="12" customFormat="false" ht="15" hidden="false" customHeight="false" outlineLevel="0" collapsed="false">
      <c r="A12" s="8" t="s">
        <v>51</v>
      </c>
      <c r="B12" s="19" t="n">
        <v>0.3</v>
      </c>
    </row>
    <row r="13" customFormat="false" ht="15" hidden="false" customHeight="false" outlineLevel="0" collapsed="false">
      <c r="A13" s="8" t="s">
        <v>52</v>
      </c>
      <c r="B13" s="19" t="n">
        <v>0.7</v>
      </c>
    </row>
    <row r="14" customFormat="false" ht="15" hidden="false" customHeight="false" outlineLevel="0" collapsed="false">
      <c r="A14" s="8" t="s">
        <v>53</v>
      </c>
      <c r="B14" s="17" t="n">
        <v>3000</v>
      </c>
    </row>
    <row r="15" customFormat="false" ht="15" hidden="false" customHeight="false" outlineLevel="0" collapsed="false">
      <c r="A15" s="8" t="s">
        <v>54</v>
      </c>
      <c r="B15" s="20" t="n">
        <v>8</v>
      </c>
    </row>
    <row r="16" customFormat="false" ht="15" hidden="false" customHeight="false" outlineLevel="0" collapsed="false">
      <c r="A16" s="8" t="s">
        <v>55</v>
      </c>
      <c r="B16" s="17" t="n">
        <v>400</v>
      </c>
    </row>
    <row r="17" customFormat="false" ht="15" hidden="false" customHeight="false" outlineLevel="0" collapsed="false">
      <c r="A17" s="8" t="s">
        <v>56</v>
      </c>
      <c r="B17" s="17" t="n">
        <v>150</v>
      </c>
    </row>
    <row r="18" customFormat="false" ht="15" hidden="false" customHeight="false" outlineLevel="0" collapsed="false">
      <c r="A18" s="8" t="s">
        <v>57</v>
      </c>
      <c r="B18" s="18" t="n">
        <v>2.9</v>
      </c>
    </row>
    <row r="20" customFormat="false" ht="15" hidden="false" customHeight="false" outlineLevel="0" collapsed="false">
      <c r="A20" s="10" t="s">
        <v>26</v>
      </c>
      <c r="B20" s="10" t="s">
        <v>27</v>
      </c>
      <c r="C20" s="10" t="s">
        <v>28</v>
      </c>
    </row>
    <row r="21" customFormat="false" ht="15" hidden="false" customHeight="false" outlineLevel="0" collapsed="false">
      <c r="A21" s="11" t="s">
        <v>58</v>
      </c>
      <c r="B21" s="21" t="n">
        <f aca="false">($B$4*$B$6+$B$5*$B$7)/1000000</f>
        <v>0.0165</v>
      </c>
      <c r="C21" s="22" t="n">
        <v>0.0165</v>
      </c>
    </row>
    <row r="22" customFormat="false" ht="15" hidden="false" customHeight="false" outlineLevel="0" collapsed="false">
      <c r="A22" s="11" t="s">
        <v>59</v>
      </c>
      <c r="B22" s="23" t="n">
        <f aca="false">($B$4*$B$10+$B$5*$B$11)/1000000</f>
        <v>0.00125</v>
      </c>
      <c r="C22" s="24" t="n">
        <v>0.00125</v>
      </c>
    </row>
    <row r="23" customFormat="false" ht="15" hidden="false" customHeight="false" outlineLevel="0" collapsed="false">
      <c r="A23" s="11" t="s">
        <v>60</v>
      </c>
      <c r="B23" s="25" t="n">
        <f aca="false">$B$3*(1-$B$12)</f>
        <v>7000</v>
      </c>
      <c r="C23" s="26" t="n">
        <v>7000</v>
      </c>
    </row>
    <row r="24" customFormat="false" ht="15" hidden="false" customHeight="false" outlineLevel="0" collapsed="false">
      <c r="A24" s="11" t="s">
        <v>61</v>
      </c>
      <c r="B24" s="27" t="n">
        <f aca="false">$B$23*$B$21</f>
        <v>115.5</v>
      </c>
      <c r="C24" s="28" t="n">
        <v>115.5</v>
      </c>
    </row>
    <row r="25" customFormat="false" ht="15" hidden="false" customHeight="false" outlineLevel="0" collapsed="false">
      <c r="A25" s="11" t="s">
        <v>62</v>
      </c>
      <c r="B25" s="27" t="n">
        <f aca="false">($B$3-$B$23)*$B$22</f>
        <v>3.75</v>
      </c>
      <c r="C25" s="28" t="n">
        <v>3.75</v>
      </c>
    </row>
    <row r="26" customFormat="false" ht="15" hidden="false" customHeight="false" outlineLevel="0" collapsed="false">
      <c r="A26" s="11" t="s">
        <v>63</v>
      </c>
      <c r="B26" s="27" t="n">
        <f aca="false">$B$24+$B$25</f>
        <v>119.25</v>
      </c>
      <c r="C26" s="28" t="n">
        <v>119.25</v>
      </c>
    </row>
    <row r="27" customFormat="false" ht="15" hidden="false" customHeight="false" outlineLevel="0" collapsed="false">
      <c r="A27" s="11" t="s">
        <v>64</v>
      </c>
      <c r="B27" s="25" t="n">
        <f aca="false">$B$23*(1-$B$13)</f>
        <v>2100</v>
      </c>
      <c r="C27" s="26" t="n">
        <v>2100</v>
      </c>
    </row>
    <row r="28" customFormat="false" ht="15" hidden="false" customHeight="false" outlineLevel="0" collapsed="false">
      <c r="A28" s="11" t="s">
        <v>65</v>
      </c>
      <c r="B28" s="27" t="n">
        <f aca="false">$B$27*$B$21</f>
        <v>34.65</v>
      </c>
      <c r="C28" s="28" t="n">
        <v>34.65</v>
      </c>
    </row>
    <row r="29" customFormat="false" ht="15" hidden="false" customHeight="false" outlineLevel="0" collapsed="false">
      <c r="A29" s="11" t="s">
        <v>66</v>
      </c>
      <c r="B29" s="27" t="n">
        <f aca="false">($B$3-$B$27)*$B$22</f>
        <v>9.875</v>
      </c>
      <c r="C29" s="28" t="n">
        <v>9.88</v>
      </c>
    </row>
    <row r="30" customFormat="false" ht="15" hidden="false" customHeight="false" outlineLevel="0" collapsed="false">
      <c r="A30" s="11" t="s">
        <v>67</v>
      </c>
      <c r="B30" s="27" t="n">
        <f aca="false">$B$28+$B$29</f>
        <v>44.525</v>
      </c>
      <c r="C30" s="28" t="n">
        <v>44.53</v>
      </c>
    </row>
    <row r="31" customFormat="false" ht="15" hidden="false" customHeight="false" outlineLevel="0" collapsed="false">
      <c r="A31" s="11" t="s">
        <v>68</v>
      </c>
      <c r="B31" s="14" t="n">
        <f aca="false">1-$B$30/$B$26</f>
        <v>0.626624737945493</v>
      </c>
      <c r="C31" s="15" t="n">
        <v>0.63</v>
      </c>
    </row>
    <row r="32" customFormat="false" ht="15" hidden="false" customHeight="false" outlineLevel="0" collapsed="false">
      <c r="A32" s="11" t="s">
        <v>69</v>
      </c>
      <c r="B32" s="21" t="n">
        <f aca="false">($B$4*$B$8+$B$5*$B$9)/1000000</f>
        <v>0.011</v>
      </c>
    </row>
    <row r="33" customFormat="false" ht="15" hidden="false" customHeight="false" outlineLevel="0" collapsed="false">
      <c r="A33" s="11" t="s">
        <v>70</v>
      </c>
      <c r="B33" s="27" t="n">
        <f aca="false">$B$23*$B$32+($B$3-$B$23)*$B$22</f>
        <v>80.75</v>
      </c>
      <c r="C33" s="28" t="n">
        <v>80.75</v>
      </c>
    </row>
    <row r="34" customFormat="false" ht="15" hidden="false" customHeight="false" outlineLevel="0" collapsed="false">
      <c r="A34" s="11" t="s">
        <v>71</v>
      </c>
      <c r="B34" s="27" t="n">
        <f aca="false">$B$27*$B$32+($B$3-$B$27)*$B$22</f>
        <v>32.975</v>
      </c>
      <c r="C34" s="28" t="n">
        <v>32.98</v>
      </c>
    </row>
    <row r="35" customFormat="false" ht="15" hidden="false" customHeight="false" outlineLevel="0" collapsed="false">
      <c r="A35" s="11" t="s">
        <v>72</v>
      </c>
      <c r="B35" s="14" t="n">
        <f aca="false">1-$B$34/$B$33</f>
        <v>0.591640866873065</v>
      </c>
      <c r="C35" s="15" t="n">
        <v>0.59</v>
      </c>
    </row>
    <row r="36" customFormat="false" ht="15" hidden="false" customHeight="false" outlineLevel="0" collapsed="false">
      <c r="A36" s="11" t="s">
        <v>73</v>
      </c>
      <c r="B36" s="29" t="n">
        <f aca="false">$B$3*$B$14/1000000</f>
        <v>30</v>
      </c>
      <c r="C36" s="30" t="n">
        <v>30</v>
      </c>
    </row>
    <row r="37" customFormat="false" ht="15" hidden="false" customHeight="false" outlineLevel="0" collapsed="false">
      <c r="A37" s="11" t="s">
        <v>74</v>
      </c>
      <c r="B37" s="31" t="n">
        <f aca="false">$B$36*1000000*2*$B$15*10^9</f>
        <v>4.8E+017</v>
      </c>
    </row>
    <row r="38" customFormat="false" ht="15" hidden="false" customHeight="false" outlineLevel="0" collapsed="false">
      <c r="A38" s="11" t="s">
        <v>75</v>
      </c>
      <c r="B38" s="29" t="n">
        <f aca="false">$B$37/($B$16*10^12)/60</f>
        <v>20</v>
      </c>
      <c r="C38" s="30" t="n">
        <v>20</v>
      </c>
    </row>
    <row r="39" customFormat="false" ht="15" hidden="false" customHeight="false" outlineLevel="0" collapsed="false">
      <c r="A39" s="11" t="s">
        <v>76</v>
      </c>
      <c r="B39" s="29" t="n">
        <f aca="false">$B$37/($B$17*10^12)/60</f>
        <v>53.3333333333333</v>
      </c>
      <c r="C39" s="32" t="s">
        <v>77</v>
      </c>
    </row>
    <row r="40" customFormat="false" ht="15" hidden="false" customHeight="false" outlineLevel="0" collapsed="false">
      <c r="A40" s="11" t="s">
        <v>78</v>
      </c>
      <c r="B40" s="27" t="n">
        <f aca="false">$B$38/60*$B$18</f>
        <v>0.966666666666667</v>
      </c>
      <c r="C40" s="28" t="n">
        <v>0.97</v>
      </c>
    </row>
    <row r="41" customFormat="false" ht="15" hidden="false" customHeight="false" outlineLevel="0" collapsed="false">
      <c r="A41" s="11" t="s">
        <v>79</v>
      </c>
      <c r="B41" s="27" t="n">
        <f aca="false">$B$39/60*$B$18</f>
        <v>2.57777777777778</v>
      </c>
      <c r="C41" s="28" t="n">
        <v>2.58</v>
      </c>
    </row>
    <row r="42" customFormat="false" ht="15" hidden="false" customHeight="false" outlineLevel="0" collapsed="false">
      <c r="A42" s="11" t="s">
        <v>80</v>
      </c>
      <c r="B42" s="33" t="n">
        <f aca="false">1-($B$30+$B$41)/$B$26</f>
        <v>0.605008152806895</v>
      </c>
      <c r="C42" s="32" t="s">
        <v>81</v>
      </c>
    </row>
    <row r="44" customFormat="false" ht="15" hidden="false" customHeight="false" outlineLevel="0" collapsed="false">
      <c r="A44" s="16" t="s">
        <v>82</v>
      </c>
    </row>
    <row r="45" customFormat="false" ht="15" hidden="false" customHeight="false" outlineLevel="0" collapsed="false">
      <c r="A45" s="16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7" t="s">
        <v>84</v>
      </c>
    </row>
    <row r="3" customFormat="false" ht="15" hidden="false" customHeight="false" outlineLevel="0" collapsed="false">
      <c r="A3" s="4" t="s">
        <v>85</v>
      </c>
    </row>
    <row r="4" customFormat="false" ht="15" hidden="false" customHeight="false" outlineLevel="0" collapsed="false">
      <c r="A4" s="34" t="s">
        <v>86</v>
      </c>
      <c r="B4" s="34" t="s">
        <v>87</v>
      </c>
      <c r="C4" s="34" t="s">
        <v>88</v>
      </c>
    </row>
    <row r="5" customFormat="false" ht="15" hidden="false" customHeight="false" outlineLevel="0" collapsed="false">
      <c r="A5" s="8" t="s">
        <v>89</v>
      </c>
      <c r="B5" s="17" t="n">
        <v>800</v>
      </c>
      <c r="C5" s="17" t="n">
        <v>150</v>
      </c>
    </row>
    <row r="6" customFormat="false" ht="15" hidden="false" customHeight="false" outlineLevel="0" collapsed="false">
      <c r="A6" s="8" t="s">
        <v>90</v>
      </c>
      <c r="B6" s="17" t="n">
        <v>5600</v>
      </c>
      <c r="C6" s="17" t="n">
        <v>300</v>
      </c>
    </row>
    <row r="7" customFormat="false" ht="15" hidden="false" customHeight="false" outlineLevel="0" collapsed="false">
      <c r="A7" s="8" t="s">
        <v>91</v>
      </c>
      <c r="B7" s="17" t="n">
        <v>600</v>
      </c>
      <c r="C7" s="17" t="n">
        <v>80</v>
      </c>
    </row>
    <row r="8" customFormat="false" ht="15" hidden="false" customHeight="false" outlineLevel="0" collapsed="false">
      <c r="A8" s="8" t="s">
        <v>92</v>
      </c>
      <c r="B8" s="17" t="n">
        <v>1300</v>
      </c>
      <c r="C8" s="17" t="n">
        <v>50</v>
      </c>
    </row>
    <row r="10" customFormat="false" ht="15" hidden="false" customHeight="false" outlineLevel="0" collapsed="false">
      <c r="A10" s="4" t="s">
        <v>93</v>
      </c>
    </row>
    <row r="11" customFormat="false" ht="15" hidden="false" customHeight="false" outlineLevel="0" collapsed="false">
      <c r="A11" s="8" t="s">
        <v>94</v>
      </c>
      <c r="B11" s="17" t="n">
        <v>1200</v>
      </c>
    </row>
    <row r="12" customFormat="false" ht="15" hidden="false" customHeight="false" outlineLevel="0" collapsed="false">
      <c r="A12" s="8" t="s">
        <v>95</v>
      </c>
      <c r="B12" s="20" t="n">
        <v>12</v>
      </c>
    </row>
    <row r="13" customFormat="false" ht="15" hidden="false" customHeight="false" outlineLevel="0" collapsed="false">
      <c r="A13" s="8" t="s">
        <v>96</v>
      </c>
      <c r="B13" s="20" t="n">
        <v>8</v>
      </c>
    </row>
    <row r="14" customFormat="false" ht="15" hidden="false" customHeight="false" outlineLevel="0" collapsed="false">
      <c r="A14" s="8" t="s">
        <v>97</v>
      </c>
      <c r="B14" s="17" t="n">
        <v>400</v>
      </c>
    </row>
    <row r="15" customFormat="false" ht="15" hidden="false" customHeight="false" outlineLevel="0" collapsed="false">
      <c r="A15" s="8" t="s">
        <v>98</v>
      </c>
      <c r="B15" s="17" t="n">
        <v>900</v>
      </c>
    </row>
    <row r="17" customFormat="false" ht="15" hidden="false" customHeight="false" outlineLevel="0" collapsed="false">
      <c r="A17" s="4" t="s">
        <v>99</v>
      </c>
    </row>
    <row r="18" customFormat="false" ht="15" hidden="false" customHeight="false" outlineLevel="0" collapsed="false">
      <c r="A18" s="8" t="s">
        <v>100</v>
      </c>
      <c r="B18" s="18" t="n">
        <v>0.25</v>
      </c>
    </row>
    <row r="19" customFormat="false" ht="15" hidden="false" customHeight="false" outlineLevel="0" collapsed="false">
      <c r="A19" s="8" t="s">
        <v>101</v>
      </c>
      <c r="B19" s="18" t="n">
        <v>1</v>
      </c>
    </row>
    <row r="20" customFormat="false" ht="15" hidden="false" customHeight="false" outlineLevel="0" collapsed="false">
      <c r="A20" s="8" t="s">
        <v>102</v>
      </c>
      <c r="B20" s="17" t="n">
        <v>500</v>
      </c>
    </row>
    <row r="21" customFormat="false" ht="15" hidden="false" customHeight="false" outlineLevel="0" collapsed="false">
      <c r="A21" s="8" t="s">
        <v>103</v>
      </c>
      <c r="B21" s="18" t="n">
        <v>3</v>
      </c>
    </row>
    <row r="22" customFormat="false" ht="15" hidden="false" customHeight="false" outlineLevel="0" collapsed="false">
      <c r="A22" s="8" t="s">
        <v>104</v>
      </c>
      <c r="B22" s="18" t="n">
        <v>15</v>
      </c>
    </row>
    <row r="23" customFormat="false" ht="15" hidden="false" customHeight="false" outlineLevel="0" collapsed="false">
      <c r="A23" s="8" t="s">
        <v>47</v>
      </c>
      <c r="B23" s="18" t="n">
        <v>2</v>
      </c>
    </row>
    <row r="24" customFormat="false" ht="15" hidden="false" customHeight="false" outlineLevel="0" collapsed="false">
      <c r="A24" s="8" t="s">
        <v>48</v>
      </c>
      <c r="B24" s="18" t="n">
        <v>10</v>
      </c>
    </row>
    <row r="25" customFormat="false" ht="15" hidden="false" customHeight="false" outlineLevel="0" collapsed="false">
      <c r="A25" s="8" t="s">
        <v>105</v>
      </c>
      <c r="B25" s="17" t="n">
        <v>9500</v>
      </c>
    </row>
    <row r="26" customFormat="false" ht="15" hidden="false" customHeight="false" outlineLevel="0" collapsed="false">
      <c r="A26" s="8" t="s">
        <v>106</v>
      </c>
      <c r="B26" s="17" t="n">
        <v>1000</v>
      </c>
    </row>
    <row r="28" customFormat="false" ht="15" hidden="false" customHeight="false" outlineLevel="0" collapsed="false">
      <c r="A28" s="10" t="s">
        <v>26</v>
      </c>
      <c r="B28" s="10" t="s">
        <v>27</v>
      </c>
      <c r="C28" s="10" t="s">
        <v>28</v>
      </c>
    </row>
    <row r="29" customFormat="false" ht="15" hidden="false" customHeight="false" outlineLevel="0" collapsed="false">
      <c r="A29" s="11" t="s">
        <v>107</v>
      </c>
      <c r="B29" s="25" t="n">
        <f aca="false">$B$12*$B$14</f>
        <v>4800</v>
      </c>
      <c r="C29" s="26" t="n">
        <v>4800</v>
      </c>
    </row>
    <row r="30" customFormat="false" ht="15" hidden="false" customHeight="false" outlineLevel="0" collapsed="false">
      <c r="A30" s="11" t="s">
        <v>108</v>
      </c>
      <c r="B30" s="25" t="n">
        <f aca="false">$B$13*$B$14</f>
        <v>3200</v>
      </c>
      <c r="C30" s="26" t="n">
        <v>3200</v>
      </c>
    </row>
    <row r="31" customFormat="false" ht="15" hidden="false" customHeight="false" outlineLevel="0" collapsed="false">
      <c r="A31" s="11" t="s">
        <v>109</v>
      </c>
      <c r="B31" s="25" t="n">
        <f aca="false">$B$11+C6+$B$30</f>
        <v>4700</v>
      </c>
      <c r="C31" s="26" t="n">
        <v>4700</v>
      </c>
    </row>
    <row r="32" customFormat="false" ht="15" hidden="false" customHeight="false" outlineLevel="0" collapsed="false">
      <c r="A32" s="11" t="s">
        <v>110</v>
      </c>
      <c r="B32" s="25" t="n">
        <f aca="false">B5+B6+B7+$B$31+B8</f>
        <v>13000</v>
      </c>
      <c r="C32" s="26" t="n">
        <v>13000</v>
      </c>
    </row>
    <row r="33" customFormat="false" ht="15" hidden="false" customHeight="false" outlineLevel="0" collapsed="false">
      <c r="A33" s="11" t="s">
        <v>111</v>
      </c>
      <c r="B33" s="25" t="n">
        <f aca="false">C5+C6+C7+$B$15+C8</f>
        <v>1480</v>
      </c>
      <c r="C33" s="26" t="n">
        <v>1480</v>
      </c>
    </row>
    <row r="34" customFormat="false" ht="15" hidden="false" customHeight="false" outlineLevel="0" collapsed="false">
      <c r="A34" s="11" t="s">
        <v>112</v>
      </c>
      <c r="B34" s="25" t="n">
        <f aca="false">B5+C5</f>
        <v>950</v>
      </c>
      <c r="C34" s="26" t="n">
        <v>950</v>
      </c>
    </row>
    <row r="35" customFormat="false" ht="15" hidden="false" customHeight="false" outlineLevel="0" collapsed="false">
      <c r="A35" s="11" t="s">
        <v>113</v>
      </c>
      <c r="B35" s="21" t="n">
        <f aca="false">$B$32*$B$18/1000000</f>
        <v>0.00325</v>
      </c>
      <c r="C35" s="22" t="n">
        <v>0.0033</v>
      </c>
    </row>
    <row r="36" customFormat="false" ht="15" hidden="false" customHeight="false" outlineLevel="0" collapsed="false">
      <c r="A36" s="11" t="s">
        <v>114</v>
      </c>
      <c r="B36" s="21" t="n">
        <f aca="false">$B$33*$B$19/1000000</f>
        <v>0.00148</v>
      </c>
      <c r="C36" s="22" t="n">
        <v>0.0015</v>
      </c>
    </row>
    <row r="37" customFormat="false" ht="15" hidden="false" customHeight="false" outlineLevel="0" collapsed="false">
      <c r="A37" s="11" t="s">
        <v>115</v>
      </c>
      <c r="B37" s="21" t="n">
        <f aca="false">$B$35+$B$36</f>
        <v>0.00473</v>
      </c>
      <c r="C37" s="35" t="n">
        <v>0.005</v>
      </c>
    </row>
    <row r="38" customFormat="false" ht="15" hidden="false" customHeight="false" outlineLevel="0" collapsed="false">
      <c r="A38" s="11" t="s">
        <v>116</v>
      </c>
      <c r="B38" s="27" t="n">
        <f aca="false">$B$37*$B$20</f>
        <v>2.365</v>
      </c>
      <c r="C38" s="28" t="n">
        <v>2.4</v>
      </c>
    </row>
    <row r="39" customFormat="false" ht="15" hidden="false" customHeight="false" outlineLevel="0" collapsed="false">
      <c r="A39" s="11" t="s">
        <v>117</v>
      </c>
      <c r="B39" s="36" t="n">
        <f aca="false">($B$31*$B$21+$B$15*$B$22)/1000000</f>
        <v>0.0276</v>
      </c>
      <c r="C39" s="35" t="n">
        <v>0.028</v>
      </c>
    </row>
    <row r="40" customFormat="false" ht="15" hidden="false" customHeight="false" outlineLevel="0" collapsed="false">
      <c r="A40" s="11" t="s">
        <v>118</v>
      </c>
      <c r="B40" s="36" t="n">
        <f aca="false">($B$31*$B$23+$B$15*$B$24)/1000000</f>
        <v>0.0184</v>
      </c>
      <c r="C40" s="35" t="n">
        <v>0.018</v>
      </c>
    </row>
    <row r="41" customFormat="false" ht="15" hidden="false" customHeight="false" outlineLevel="0" collapsed="false">
      <c r="A41" s="11" t="s">
        <v>119</v>
      </c>
      <c r="B41" s="21" t="n">
        <f aca="false">($B$25*$B$18+$B$26*$B$19)/1000000</f>
        <v>0.003375</v>
      </c>
      <c r="C41" s="32" t="s">
        <v>120</v>
      </c>
    </row>
    <row r="43" customFormat="false" ht="15" hidden="false" customHeight="false" outlineLevel="0" collapsed="false">
      <c r="A43" s="16" t="s">
        <v>121</v>
      </c>
    </row>
    <row r="44" customFormat="false" ht="15" hidden="false" customHeight="false" outlineLevel="0" collapsed="false">
      <c r="A44" s="16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2026-10-26T16:02:47Z</dcterms:created>
  <dc:creator>openpyxl</dc:creator>
  <dc:description/>
  <dc:language>en-US</dc:language>
  <cp:lastModifiedBy/>
  <dcterms:modified xsi:type="dcterms:W3CDTF">2026-10-26T16:02:47Z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