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Agent Cost" sheetId="2" state="visible" r:id="rId4"/>
    <sheet name="Reliability" sheetId="3" state="visible" r:id="rId5"/>
  </sheets>
  <calcPr iterateCount="100" refMode="A1" iterate="false" iterateDelta="0.0001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<sst xmlns="http://schemas.openxmlformats.org/spreadsheetml/2006/main" count="72" uniqueCount="69">
  <si>
    <t xml:space="preserve">Chapter 23 — Tools, Agents and Protocols</t>
  </si>
  <si>
    <t xml:space="preserve">Companion workbook of The Birth and Adolescence of Artificial Intelligence, Volume 2, by Leonhard Korowajczuk. Blue cells on a light yellow background are inputs: change them and every result recalculates.</t>
  </si>
  <si>
    <t xml:space="preserve">Sheet</t>
  </si>
  <si>
    <t xml:space="preserve">What it computes</t>
  </si>
  <si>
    <t xml:space="preserve">Book reference</t>
  </si>
  <si>
    <t xml:space="preserve">Agent Cost</t>
  </si>
  <si>
    <t xml:space="preserve">Context growth, input and output tokens, and the cost of a 12-step fault-diagnosis agent with and without prompt caching, per diagnosis and per day.</t>
  </si>
  <si>
    <t xml:space="preserve">Section 23.2, Worked Example 23.1</t>
  </si>
  <si>
    <t xml:space="preserve">Reliability</t>
  </si>
  <si>
    <t xml:space="preserve">Task success over many steps at a given per-step success rate, the effect of verifying each step, pass^k across repeated attempts, and a grid of task length against per-step success.</t>
  </si>
  <si>
    <t xml:space="preserve">Section 23.6, Worked Example 23.2, Figure 23.5</t>
  </si>
  <si>
    <t xml:space="preserve">Notes</t>
  </si>
  <si>
    <t xml:space="preserve">Prices in US$ per million tokens, as assumed in the text (middle tier of Table 27.3, October 2026).</t>
  </si>
  <si>
    <t xml:space="preserve">Steps fail independently, as the worked example assumes; real failures are often correlated.</t>
  </si>
  <si>
    <t xml:space="preserve">The Cost of a Fault-Diagnosis Agent (Worked Example 23.1)</t>
  </si>
  <si>
    <t xml:space="preserve">Input price (US$ per million tokens)</t>
  </si>
  <si>
    <t xml:space="preserve">Output price (US$ per million tokens)</t>
  </si>
  <si>
    <t xml:space="preserve">Cached input price (× input price)</t>
  </si>
  <si>
    <t xml:space="preserve">Cache write price where billed (× input price)</t>
  </si>
  <si>
    <t xml:space="preserve">Stable prefix: instructions, 12 tools, site context (tokens)</t>
  </si>
  <si>
    <t xml:space="preserve">Tool result added per step (tokens)</t>
  </si>
  <si>
    <t xml:space="preserve">Model reasoning and tool call per step (output tokens)</t>
  </si>
  <si>
    <t xml:space="preserve">Steps per diagnosis</t>
  </si>
  <si>
    <t xml:space="preserve">Diagnoses a day</t>
  </si>
  <si>
    <t xml:space="preserve">Result</t>
  </si>
  <si>
    <t xml:space="preserve">Workbook</t>
  </si>
  <si>
    <t xml:space="preserve">Value in the book</t>
  </si>
  <si>
    <t xml:space="preserve">Tokens added to the context per step</t>
  </si>
  <si>
    <t xml:space="preserve">Context at the last step (tokens)</t>
  </si>
  <si>
    <t xml:space="preserve">Input tokens over the diagnosis</t>
  </si>
  <si>
    <t xml:space="preserve">Input cost without caching (US$)</t>
  </si>
  <si>
    <t xml:space="preserve">Output tokens over the diagnosis</t>
  </si>
  <si>
    <t xml:space="preserve">Output cost (US$)</t>
  </si>
  <si>
    <t xml:space="preserve">Cost per diagnosis without caching (US$)</t>
  </si>
  <si>
    <t xml:space="preserve">Full-price input tokens (prefix + tokens added since each previous call)</t>
  </si>
  <si>
    <t xml:space="preserve">Cached input tokens</t>
  </si>
  <si>
    <t xml:space="preserve">Full-price input cost (US$)</t>
  </si>
  <si>
    <t xml:space="preserve">Cached input cost (US$)</t>
  </si>
  <si>
    <t xml:space="preserve">Cost per diagnosis with caching (US$)</t>
  </si>
  <si>
    <t xml:space="preserve">Cost with caching, cache writes billed (US$)</t>
  </si>
  <si>
    <t xml:space="preserve">Saving from caching</t>
  </si>
  <si>
    <t xml:space="preserve">&gt; 2/3</t>
  </si>
  <si>
    <t xml:space="preserve">Cost a day without caching (US$)</t>
  </si>
  <si>
    <t xml:space="preserve">Cost a day with caching (US$)</t>
  </si>
  <si>
    <t xml:space="preserve">Reading: agent cost is driven by steps and context growth, not by the length of the answer. Each call pays full price only for the tokens added since the previous call; the rest is read from the cache.</t>
  </si>
  <si>
    <t xml:space="preserve">The method is that of Worked Example 22.1 (Ch22 workbook, Session Budget sheet), with output and caching added.</t>
  </si>
  <si>
    <t xml:space="preserve">Why Long Tasks Need Verification (Worked Example 23.2)</t>
  </si>
  <si>
    <t xml:space="preserve">Steps in the task (each must succeed)</t>
  </si>
  <si>
    <t xml:space="preserve">Per-step success, case 1</t>
  </si>
  <si>
    <t xml:space="preserve">Per-step success, case 2 (also the base for verification)</t>
  </si>
  <si>
    <t xml:space="preserve">Per-step success, case 3</t>
  </si>
  <si>
    <t xml:space="preserve">Share of failed steps detected and repaired by verification</t>
  </si>
  <si>
    <t xml:space="preserve">Success per attempt, one task (pass^1)</t>
  </si>
  <si>
    <t xml:space="preserve">Attempts k</t>
  </si>
  <si>
    <t xml:space="preserve">Benchmark: share of tasks that always succeed</t>
  </si>
  <si>
    <t xml:space="preserve">Benchmark: success per attempt of the other tasks</t>
  </si>
  <si>
    <t xml:space="preserve">Task success at case 1</t>
  </si>
  <si>
    <t xml:space="preserve">Task failure at case 1 (in ten tries)</t>
  </si>
  <si>
    <t xml:space="preserve">Task success at case 2</t>
  </si>
  <si>
    <t xml:space="preserve">Task success at case 3</t>
  </si>
  <si>
    <t xml:space="preserve">Effective per-step success with verification</t>
  </si>
  <si>
    <t xml:space="preserve">Task success with verification</t>
  </si>
  <si>
    <t xml:space="preserve">pass^k of one task</t>
  </si>
  <si>
    <t xml:space="preserve">Benchmark pass^1</t>
  </si>
  <si>
    <t xml:space="preserve">Benchmark pass^k</t>
  </si>
  <si>
    <t xml:space="preserve">Task success against task length and per-step success (Figure 23.5)</t>
  </si>
  <si>
    <t xml:space="preserve">Steps in the task  \  per-step success</t>
  </si>
  <si>
    <t xml:space="preserve">Reading: verification of intermediate results is the most effective reliability measure for long tasks; it is the reason coding agents run tests after every change.</t>
  </si>
  <si>
    <t xml:space="preserve">pass^k: the probability of succeeding in all k independent attempts (τ-bench). The grid's lengths and rates are inputs; the book's figure shows the same family of curves.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</si>
</sst>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"/>
    <numFmt numFmtId="166" formatCode="0.000"/>
    <numFmt numFmtId="167" formatCode="#,##0"/>
    <numFmt numFmtId="168" formatCode="0"/>
    <numFmt numFmtId="169" formatCode="0%"/>
    <numFmt numFmtId="170" formatCode="0.0"/>
    <numFmt numFmtId="171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8A6410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3"/>
      <color rgb="FF8A64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7EFDD"/>
        <bgColor rgb="FFFFF9E6"/>
      </patternFill>
    </fill>
    <fill>
      <patternFill patternType="solid">
        <fgColor rgb="FFFFF9E6"/>
        <bgColor rgb="FFF7EFD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9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410"/>
      <rgbColor rgb="FF800080"/>
      <rgbColor rgb="FF008080"/>
      <rgbColor rgb="FFBFBFBF"/>
      <rgbColor rgb="FF808080"/>
      <rgbColor rgb="FF9999FF"/>
      <rgbColor rgb="FF993366"/>
      <rgbColor rgb="FFF7EFD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2"/>
    <col collapsed="false" customWidth="true" hidden="false" outlineLevel="0" max="3" min="3" style="0" width="40"/>
  </cols>
  <sheetData>
    <row r="1" customFormat="false" ht="17.35" hidden="false" customHeight="fals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  <c r="B2" s="2"/>
      <c r="C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23.85" hidden="false" customHeight="false" outlineLevel="0" collapsed="false">
      <c r="A5" s="4" t="s">
        <v>5</v>
      </c>
      <c r="B5" s="5" t="s">
        <v>6</v>
      </c>
      <c r="C5" s="5" t="s">
        <v>7</v>
      </c>
    </row>
    <row r="6" customFormat="false" ht="35.05" hidden="false" customHeight="false" outlineLevel="0" collapsed="false">
      <c r="A6" s="4" t="s">
        <v>8</v>
      </c>
      <c r="B6" s="5" t="s">
        <v>9</v>
      </c>
      <c r="C6" s="5" t="s">
        <v>10</v>
      </c>
    </row>
    <row r="8" customFormat="false" ht="15" hidden="false" customHeight="false" outlineLevel="0" collapsed="false">
      <c r="A8" s="4" t="s">
        <v>11</v>
      </c>
    </row>
    <row r="9" customFormat="false" ht="15" hidden="false" customHeight="true" outlineLevel="0" collapsed="false">
      <c r="A9" s="6" t="s">
        <v>12</v>
      </c>
      <c r="B9" s="6"/>
      <c r="C9" s="6"/>
    </row>
    <row r="10" customFormat="false" ht="15" hidden="false" customHeight="true" outlineLevel="0" collapsed="false">
      <c r="A10" s="6" t="s">
        <v>13</v>
      </c>
      <c r="B10" s="6"/>
      <c r="C10" s="6"/>
    </row>
  </sheetData>
  <mergeCells count="3">
    <mergeCell ref="A2:C2"/>
    <mergeCell ref="A9:C9"/>
    <mergeCell ref="A10:C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3" min="2" style="0" width="16"/>
  </cols>
  <sheetData>
    <row r="1" customFormat="false" ht="16.15" hidden="false" customHeight="false" outlineLevel="0" collapsed="false">
      <c r="A1" s="7" t="s">
        <v>14</v>
      </c>
    </row>
    <row r="3" customFormat="false" ht="15" hidden="false" customHeight="false" outlineLevel="0" collapsed="false">
      <c r="A3" s="8" t="s">
        <v>15</v>
      </c>
      <c r="B3" s="9" t="n">
        <v>2</v>
      </c>
    </row>
    <row r="4" customFormat="false" ht="15" hidden="false" customHeight="false" outlineLevel="0" collapsed="false">
      <c r="A4" s="8" t="s">
        <v>16</v>
      </c>
      <c r="B4" s="9" t="n">
        <v>10</v>
      </c>
    </row>
    <row r="5" customFormat="false" ht="15" hidden="false" customHeight="false" outlineLevel="0" collapsed="false">
      <c r="A5" s="8" t="s">
        <v>17</v>
      </c>
      <c r="B5" s="10" t="n">
        <v>0.1</v>
      </c>
    </row>
    <row r="6" customFormat="false" ht="15" hidden="false" customHeight="false" outlineLevel="0" collapsed="false">
      <c r="A6" s="8" t="s">
        <v>18</v>
      </c>
      <c r="B6" s="9" t="n">
        <v>1.25</v>
      </c>
    </row>
    <row r="7" customFormat="false" ht="15" hidden="false" customHeight="false" outlineLevel="0" collapsed="false">
      <c r="A7" s="8" t="s">
        <v>19</v>
      </c>
      <c r="B7" s="11" t="n">
        <v>6000</v>
      </c>
    </row>
    <row r="8" customFormat="false" ht="15" hidden="false" customHeight="false" outlineLevel="0" collapsed="false">
      <c r="A8" s="8" t="s">
        <v>20</v>
      </c>
      <c r="B8" s="11" t="n">
        <v>1500</v>
      </c>
    </row>
    <row r="9" customFormat="false" ht="15" hidden="false" customHeight="false" outlineLevel="0" collapsed="false">
      <c r="A9" s="8" t="s">
        <v>21</v>
      </c>
      <c r="B9" s="11" t="n">
        <v>300</v>
      </c>
    </row>
    <row r="10" customFormat="false" ht="15" hidden="false" customHeight="false" outlineLevel="0" collapsed="false">
      <c r="A10" s="8" t="s">
        <v>22</v>
      </c>
      <c r="B10" s="12" t="n">
        <v>12</v>
      </c>
    </row>
    <row r="11" customFormat="false" ht="15" hidden="false" customHeight="false" outlineLevel="0" collapsed="false">
      <c r="A11" s="8" t="s">
        <v>23</v>
      </c>
      <c r="B11" s="11" t="n">
        <v>400</v>
      </c>
    </row>
    <row r="13" customFormat="false" ht="15" hidden="false" customHeight="false" outlineLevel="0" collapsed="false">
      <c r="A13" s="13" t="s">
        <v>24</v>
      </c>
      <c r="B13" s="13" t="s">
        <v>25</v>
      </c>
      <c r="C13" s="13" t="s">
        <v>26</v>
      </c>
    </row>
    <row r="14" customFormat="false" ht="15" hidden="false" customHeight="false" outlineLevel="0" collapsed="false">
      <c r="A14" s="14" t="s">
        <v>27</v>
      </c>
      <c r="B14" s="15" t="n">
        <f aca="false">$B$8+$B$9</f>
        <v>1800</v>
      </c>
      <c r="C14" s="16" t="n">
        <v>1800</v>
      </c>
    </row>
    <row r="15" customFormat="false" ht="15" hidden="false" customHeight="false" outlineLevel="0" collapsed="false">
      <c r="A15" s="14" t="s">
        <v>28</v>
      </c>
      <c r="B15" s="15" t="n">
        <f aca="false">$B$7+$B$14*($B$10-1)</f>
        <v>25800</v>
      </c>
      <c r="C15" s="16" t="n">
        <v>25800</v>
      </c>
    </row>
    <row r="16" customFormat="false" ht="15" hidden="false" customHeight="false" outlineLevel="0" collapsed="false">
      <c r="A16" s="14" t="s">
        <v>29</v>
      </c>
      <c r="B16" s="15" t="n">
        <f aca="false">$B$10*$B$7+$B$14*$B$10*($B$10-1)/2</f>
        <v>190800</v>
      </c>
      <c r="C16" s="16" t="n">
        <v>190800</v>
      </c>
    </row>
    <row r="17" customFormat="false" ht="15" hidden="false" customHeight="false" outlineLevel="0" collapsed="false">
      <c r="A17" s="14" t="s">
        <v>30</v>
      </c>
      <c r="B17" s="17" t="n">
        <f aca="false">$B$16*$B$3/1000000</f>
        <v>0.3816</v>
      </c>
      <c r="C17" s="18" t="n">
        <v>0.382</v>
      </c>
    </row>
    <row r="18" customFormat="false" ht="15" hidden="false" customHeight="false" outlineLevel="0" collapsed="false">
      <c r="A18" s="14" t="s">
        <v>31</v>
      </c>
      <c r="B18" s="15" t="n">
        <f aca="false">$B$10*$B$9</f>
        <v>3600</v>
      </c>
      <c r="C18" s="16" t="n">
        <v>3600</v>
      </c>
    </row>
    <row r="19" customFormat="false" ht="15" hidden="false" customHeight="false" outlineLevel="0" collapsed="false">
      <c r="A19" s="14" t="s">
        <v>32</v>
      </c>
      <c r="B19" s="17" t="n">
        <f aca="false">$B$18*$B$4/1000000</f>
        <v>0.036</v>
      </c>
      <c r="C19" s="18" t="n">
        <v>0.036</v>
      </c>
    </row>
    <row r="20" customFormat="false" ht="15" hidden="false" customHeight="false" outlineLevel="0" collapsed="false">
      <c r="A20" s="14" t="s">
        <v>33</v>
      </c>
      <c r="B20" s="19" t="n">
        <f aca="false">$B$17+$B$19</f>
        <v>0.4176</v>
      </c>
      <c r="C20" s="20" t="n">
        <v>0.42</v>
      </c>
    </row>
    <row r="21" customFormat="false" ht="15" hidden="false" customHeight="false" outlineLevel="0" collapsed="false">
      <c r="A21" s="14" t="s">
        <v>34</v>
      </c>
      <c r="B21" s="15" t="n">
        <f aca="false">$B$7+$B$14*($B$10-1)</f>
        <v>25800</v>
      </c>
      <c r="C21" s="16" t="n">
        <v>25800</v>
      </c>
    </row>
    <row r="22" customFormat="false" ht="15" hidden="false" customHeight="false" outlineLevel="0" collapsed="false">
      <c r="A22" s="14" t="s">
        <v>35</v>
      </c>
      <c r="B22" s="15" t="n">
        <f aca="false">$B$16-$B$21</f>
        <v>165000</v>
      </c>
      <c r="C22" s="16" t="n">
        <v>165000</v>
      </c>
    </row>
    <row r="23" customFormat="false" ht="15" hidden="false" customHeight="false" outlineLevel="0" collapsed="false">
      <c r="A23" s="14" t="s">
        <v>36</v>
      </c>
      <c r="B23" s="17" t="n">
        <f aca="false">$B$21*$B$3/1000000</f>
        <v>0.0516</v>
      </c>
      <c r="C23" s="18" t="n">
        <v>0.052</v>
      </c>
    </row>
    <row r="24" customFormat="false" ht="15" hidden="false" customHeight="false" outlineLevel="0" collapsed="false">
      <c r="A24" s="14" t="s">
        <v>37</v>
      </c>
      <c r="B24" s="17" t="n">
        <f aca="false">$B$22*$B$3*$B$5/1000000</f>
        <v>0.033</v>
      </c>
      <c r="C24" s="18" t="n">
        <v>0.033</v>
      </c>
    </row>
    <row r="25" customFormat="false" ht="15" hidden="false" customHeight="false" outlineLevel="0" collapsed="false">
      <c r="A25" s="14" t="s">
        <v>38</v>
      </c>
      <c r="B25" s="19" t="n">
        <f aca="false">$B$23+$B$24+$B$19</f>
        <v>0.1206</v>
      </c>
      <c r="C25" s="20" t="n">
        <v>0.12</v>
      </c>
    </row>
    <row r="26" customFormat="false" ht="15" hidden="false" customHeight="false" outlineLevel="0" collapsed="false">
      <c r="A26" s="14" t="s">
        <v>39</v>
      </c>
      <c r="B26" s="19" t="n">
        <f aca="false">$B$23*$B$6+$B$24+$B$19</f>
        <v>0.1335</v>
      </c>
      <c r="C26" s="20" t="n">
        <v>0.13</v>
      </c>
    </row>
    <row r="27" customFormat="false" ht="15" hidden="false" customHeight="false" outlineLevel="0" collapsed="false">
      <c r="A27" s="14" t="s">
        <v>40</v>
      </c>
      <c r="B27" s="21" t="n">
        <f aca="false">1-$B$25/$B$20</f>
        <v>0.711206896551724</v>
      </c>
      <c r="C27" s="22" t="s">
        <v>41</v>
      </c>
    </row>
    <row r="28" customFormat="false" ht="15" hidden="false" customHeight="false" outlineLevel="0" collapsed="false">
      <c r="A28" s="14" t="s">
        <v>42</v>
      </c>
      <c r="B28" s="15" t="n">
        <f aca="false">$B$20*$B$11</f>
        <v>167.04</v>
      </c>
      <c r="C28" s="16" t="n">
        <v>167</v>
      </c>
    </row>
    <row r="29" customFormat="false" ht="15" hidden="false" customHeight="false" outlineLevel="0" collapsed="false">
      <c r="A29" s="14" t="s">
        <v>43</v>
      </c>
      <c r="B29" s="15" t="n">
        <f aca="false">$B$25*$B$11</f>
        <v>48.24</v>
      </c>
      <c r="C29" s="16" t="n">
        <v>48</v>
      </c>
    </row>
    <row r="31" customFormat="false" ht="15" hidden="false" customHeight="false" outlineLevel="0" collapsed="false">
      <c r="A31" s="23" t="s">
        <v>44</v>
      </c>
    </row>
    <row r="32" customFormat="false" ht="15" hidden="false" customHeight="false" outlineLevel="0" collapsed="false">
      <c r="A32" s="23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7" min="2" style="0" width="14"/>
  </cols>
  <sheetData>
    <row r="1" customFormat="false" ht="16.15" hidden="false" customHeight="false" outlineLevel="0" collapsed="false">
      <c r="A1" s="7" t="s">
        <v>46</v>
      </c>
    </row>
    <row r="3" customFormat="false" ht="15" hidden="false" customHeight="false" outlineLevel="0" collapsed="false">
      <c r="A3" s="8" t="s">
        <v>47</v>
      </c>
      <c r="B3" s="12" t="n">
        <v>50</v>
      </c>
    </row>
    <row r="4" customFormat="false" ht="15" hidden="false" customHeight="false" outlineLevel="0" collapsed="false">
      <c r="A4" s="8" t="s">
        <v>48</v>
      </c>
      <c r="B4" s="10" t="n">
        <v>0.99</v>
      </c>
    </row>
    <row r="5" customFormat="false" ht="15" hidden="false" customHeight="false" outlineLevel="0" collapsed="false">
      <c r="A5" s="8" t="s">
        <v>49</v>
      </c>
      <c r="B5" s="10" t="n">
        <v>0.98</v>
      </c>
    </row>
    <row r="6" customFormat="false" ht="15" hidden="false" customHeight="false" outlineLevel="0" collapsed="false">
      <c r="A6" s="8" t="s">
        <v>50</v>
      </c>
      <c r="B6" s="10" t="n">
        <v>0.95</v>
      </c>
    </row>
    <row r="7" customFormat="false" ht="15" hidden="false" customHeight="false" outlineLevel="0" collapsed="false">
      <c r="A7" s="8" t="s">
        <v>51</v>
      </c>
      <c r="B7" s="24" t="n">
        <v>0.9</v>
      </c>
    </row>
    <row r="8" customFormat="false" ht="15" hidden="false" customHeight="false" outlineLevel="0" collapsed="false">
      <c r="A8" s="8" t="s">
        <v>52</v>
      </c>
      <c r="B8" s="9" t="n">
        <v>0.6</v>
      </c>
    </row>
    <row r="9" customFormat="false" ht="15" hidden="false" customHeight="false" outlineLevel="0" collapsed="false">
      <c r="A9" s="8" t="s">
        <v>53</v>
      </c>
      <c r="B9" s="12" t="n">
        <v>8</v>
      </c>
    </row>
    <row r="10" customFormat="false" ht="15" hidden="false" customHeight="false" outlineLevel="0" collapsed="false">
      <c r="A10" s="8" t="s">
        <v>54</v>
      </c>
      <c r="B10" s="24" t="n">
        <v>0.5</v>
      </c>
    </row>
    <row r="11" customFormat="false" ht="15" hidden="false" customHeight="false" outlineLevel="0" collapsed="false">
      <c r="A11" s="8" t="s">
        <v>55</v>
      </c>
      <c r="B11" s="9" t="n">
        <v>0.2</v>
      </c>
    </row>
    <row r="13" customFormat="false" ht="23.85" hidden="false" customHeight="false" outlineLevel="0" collapsed="false">
      <c r="A13" s="13" t="s">
        <v>24</v>
      </c>
      <c r="B13" s="13" t="s">
        <v>25</v>
      </c>
      <c r="C13" s="13" t="s">
        <v>26</v>
      </c>
    </row>
    <row r="14" customFormat="false" ht="15" hidden="false" customHeight="false" outlineLevel="0" collapsed="false">
      <c r="A14" s="14" t="s">
        <v>56</v>
      </c>
      <c r="B14" s="19" t="n">
        <f aca="false">$B$4^$B$3</f>
        <v>0.605006067137536</v>
      </c>
      <c r="C14" s="20" t="n">
        <v>0.61</v>
      </c>
    </row>
    <row r="15" customFormat="false" ht="15" hidden="false" customHeight="false" outlineLevel="0" collapsed="false">
      <c r="A15" s="14" t="s">
        <v>57</v>
      </c>
      <c r="B15" s="25" t="n">
        <f aca="false">(1-$B$14)*10</f>
        <v>3.94993932862464</v>
      </c>
      <c r="C15" s="26" t="n">
        <v>4</v>
      </c>
    </row>
    <row r="16" customFormat="false" ht="15" hidden="false" customHeight="false" outlineLevel="0" collapsed="false">
      <c r="A16" s="14" t="s">
        <v>58</v>
      </c>
      <c r="B16" s="19" t="n">
        <f aca="false">$B$5^$B$3</f>
        <v>0.364169680087117</v>
      </c>
      <c r="C16" s="20" t="n">
        <v>0.36</v>
      </c>
    </row>
    <row r="17" customFormat="false" ht="15" hidden="false" customHeight="false" outlineLevel="0" collapsed="false">
      <c r="A17" s="14" t="s">
        <v>59</v>
      </c>
      <c r="B17" s="19" t="n">
        <f aca="false">$B$6^$B$3</f>
        <v>0.0769449752767132</v>
      </c>
      <c r="C17" s="20" t="n">
        <v>0.08</v>
      </c>
    </row>
    <row r="18" customFormat="false" ht="15" hidden="false" customHeight="false" outlineLevel="0" collapsed="false">
      <c r="A18" s="14" t="s">
        <v>60</v>
      </c>
      <c r="B18" s="17" t="n">
        <f aca="false">$B$5+(1-$B$5)*$B$7</f>
        <v>0.998</v>
      </c>
      <c r="C18" s="18" t="n">
        <v>0.998</v>
      </c>
    </row>
    <row r="19" customFormat="false" ht="15" hidden="false" customHeight="false" outlineLevel="0" collapsed="false">
      <c r="A19" s="14" t="s">
        <v>61</v>
      </c>
      <c r="B19" s="19" t="n">
        <f aca="false">$B$18^$B$3</f>
        <v>0.904746818004036</v>
      </c>
      <c r="C19" s="20" t="n">
        <v>0.9</v>
      </c>
    </row>
    <row r="20" customFormat="false" ht="15" hidden="false" customHeight="false" outlineLevel="0" collapsed="false">
      <c r="A20" s="14" t="s">
        <v>62</v>
      </c>
      <c r="B20" s="17" t="n">
        <f aca="false">$B$8^$B$9</f>
        <v>0.01679616</v>
      </c>
      <c r="C20" s="18" t="n">
        <v>0.017</v>
      </c>
    </row>
    <row r="21" customFormat="false" ht="15" hidden="false" customHeight="false" outlineLevel="0" collapsed="false">
      <c r="A21" s="14" t="s">
        <v>63</v>
      </c>
      <c r="B21" s="19" t="n">
        <f aca="false">$B$10+(1-$B$10)*$B$11</f>
        <v>0.6</v>
      </c>
      <c r="C21" s="20" t="n">
        <v>0.6</v>
      </c>
    </row>
    <row r="22" customFormat="false" ht="15" hidden="false" customHeight="false" outlineLevel="0" collapsed="false">
      <c r="A22" s="14" t="s">
        <v>64</v>
      </c>
      <c r="B22" s="19" t="n">
        <f aca="false">$B$10+(1-$B$10)*$B$11^$B$9</f>
        <v>0.50000128</v>
      </c>
      <c r="C22" s="20" t="n">
        <v>0.5</v>
      </c>
    </row>
    <row r="24" customFormat="false" ht="15" hidden="false" customHeight="false" outlineLevel="0" collapsed="false">
      <c r="A24" s="4" t="s">
        <v>65</v>
      </c>
    </row>
    <row r="25" customFormat="false" ht="15" hidden="false" customHeight="false" outlineLevel="0" collapsed="false">
      <c r="A25" s="27" t="s">
        <v>66</v>
      </c>
      <c r="B25" s="28" t="n">
        <v>0.9</v>
      </c>
      <c r="C25" s="28" t="n">
        <v>0.95</v>
      </c>
      <c r="D25" s="28" t="n">
        <v>0.98</v>
      </c>
      <c r="E25" s="28" t="n">
        <v>0.99</v>
      </c>
      <c r="F25" s="28" t="n">
        <v>0.995</v>
      </c>
      <c r="G25" s="28" t="n">
        <v>0.999</v>
      </c>
    </row>
    <row r="26" customFormat="false" ht="15" hidden="false" customHeight="false" outlineLevel="0" collapsed="false">
      <c r="A26" s="12" t="n">
        <v>1</v>
      </c>
      <c r="B26" s="21" t="n">
        <f aca="false">B$25^$A26</f>
        <v>0.9</v>
      </c>
      <c r="C26" s="21" t="n">
        <f aca="false">C$25^$A26</f>
        <v>0.95</v>
      </c>
      <c r="D26" s="21" t="n">
        <f aca="false">D$25^$A26</f>
        <v>0.98</v>
      </c>
      <c r="E26" s="21" t="n">
        <f aca="false">E$25^$A26</f>
        <v>0.99</v>
      </c>
      <c r="F26" s="21" t="n">
        <f aca="false">F$25^$A26</f>
        <v>0.995</v>
      </c>
      <c r="G26" s="21" t="n">
        <f aca="false">G$25^$A26</f>
        <v>0.999</v>
      </c>
    </row>
    <row r="27" customFormat="false" ht="15" hidden="false" customHeight="false" outlineLevel="0" collapsed="false">
      <c r="A27" s="12" t="n">
        <v>5</v>
      </c>
      <c r="B27" s="21" t="n">
        <f aca="false">B$25^$A27</f>
        <v>0.59049</v>
      </c>
      <c r="C27" s="21" t="n">
        <f aca="false">C$25^$A27</f>
        <v>0.7737809375</v>
      </c>
      <c r="D27" s="21" t="n">
        <f aca="false">D$25^$A27</f>
        <v>0.9039207968</v>
      </c>
      <c r="E27" s="21" t="n">
        <f aca="false">E$25^$A27</f>
        <v>0.9509900499</v>
      </c>
      <c r="F27" s="21" t="n">
        <f aca="false">F$25^$A27</f>
        <v>0.975248753121875</v>
      </c>
      <c r="G27" s="21" t="n">
        <f aca="false">G$25^$A27</f>
        <v>0.995009990004999</v>
      </c>
    </row>
    <row r="28" customFormat="false" ht="15" hidden="false" customHeight="false" outlineLevel="0" collapsed="false">
      <c r="A28" s="12" t="n">
        <v>10</v>
      </c>
      <c r="B28" s="21" t="n">
        <f aca="false">B$25^$A28</f>
        <v>0.3486784401</v>
      </c>
      <c r="C28" s="21" t="n">
        <f aca="false">C$25^$A28</f>
        <v>0.598736939238379</v>
      </c>
      <c r="D28" s="21" t="n">
        <f aca="false">D$25^$A28</f>
        <v>0.817072806887547</v>
      </c>
      <c r="E28" s="21" t="n">
        <f aca="false">E$25^$A28</f>
        <v>0.904382075008804</v>
      </c>
      <c r="F28" s="21" t="n">
        <f aca="false">F$25^$A28</f>
        <v>0.951110130465772</v>
      </c>
      <c r="G28" s="21" t="n">
        <f aca="false">G$25^$A28</f>
        <v>0.990044880209748</v>
      </c>
    </row>
    <row r="29" customFormat="false" ht="15" hidden="false" customHeight="false" outlineLevel="0" collapsed="false">
      <c r="A29" s="12" t="n">
        <v>20</v>
      </c>
      <c r="B29" s="21" t="n">
        <f aca="false">B$25^$A29</f>
        <v>0.121576654590569</v>
      </c>
      <c r="C29" s="21" t="n">
        <f aca="false">C$25^$A29</f>
        <v>0.358485922408542</v>
      </c>
      <c r="D29" s="21" t="n">
        <f aca="false">D$25^$A29</f>
        <v>0.667607971755094</v>
      </c>
      <c r="E29" s="21" t="n">
        <f aca="false">E$25^$A29</f>
        <v>0.817906937597231</v>
      </c>
      <c r="F29" s="21" t="n">
        <f aca="false">F$25^$A29</f>
        <v>0.904610480274618</v>
      </c>
      <c r="G29" s="21" t="n">
        <f aca="false">G$25^$A29</f>
        <v>0.980188864829535</v>
      </c>
    </row>
    <row r="30" customFormat="false" ht="15" hidden="false" customHeight="false" outlineLevel="0" collapsed="false">
      <c r="A30" s="12" t="n">
        <v>50</v>
      </c>
      <c r="B30" s="21" t="n">
        <f aca="false">B$25^$A30</f>
        <v>0.00515377520732012</v>
      </c>
      <c r="C30" s="21" t="n">
        <f aca="false">C$25^$A30</f>
        <v>0.0769449752767132</v>
      </c>
      <c r="D30" s="21" t="n">
        <f aca="false">D$25^$A30</f>
        <v>0.364169680087117</v>
      </c>
      <c r="E30" s="21" t="n">
        <f aca="false">E$25^$A30</f>
        <v>0.605006067137536</v>
      </c>
      <c r="F30" s="21" t="n">
        <f aca="false">F$25^$A30</f>
        <v>0.778312557068642</v>
      </c>
      <c r="G30" s="21" t="n">
        <f aca="false">G$25^$A30</f>
        <v>0.951205628197031</v>
      </c>
    </row>
    <row r="31" customFormat="false" ht="15" hidden="false" customHeight="false" outlineLevel="0" collapsed="false">
      <c r="A31" s="12" t="n">
        <v>100</v>
      </c>
      <c r="B31" s="21" t="n">
        <f aca="false">B$25^$A31</f>
        <v>2.65613988875875E-005</v>
      </c>
      <c r="C31" s="21" t="n">
        <f aca="false">C$25^$A31</f>
        <v>0.005920529220334</v>
      </c>
      <c r="D31" s="21" t="n">
        <f aca="false">D$25^$A31</f>
        <v>0.132619555894753</v>
      </c>
      <c r="E31" s="21" t="n">
        <f aca="false">E$25^$A31</f>
        <v>0.366032341273229</v>
      </c>
      <c r="F31" s="21" t="n">
        <f aca="false">F$25^$A31</f>
        <v>0.605770436490728</v>
      </c>
      <c r="G31" s="21" t="n">
        <f aca="false">G$25^$A31</f>
        <v>0.904792147113709</v>
      </c>
    </row>
    <row r="32" customFormat="false" ht="15" hidden="false" customHeight="false" outlineLevel="0" collapsed="false">
      <c r="A32" s="12" t="n">
        <v>200</v>
      </c>
      <c r="B32" s="21" t="n">
        <f aca="false">B$25^$A32</f>
        <v>7.05507910865537E-010</v>
      </c>
      <c r="C32" s="21" t="n">
        <f aca="false">C$25^$A32</f>
        <v>3.50526662488287E-005</v>
      </c>
      <c r="D32" s="21" t="n">
        <f aca="false">D$25^$A32</f>
        <v>0.0175879466057215</v>
      </c>
      <c r="E32" s="21" t="n">
        <f aca="false">E$25^$A32</f>
        <v>0.133979674857962</v>
      </c>
      <c r="F32" s="21" t="n">
        <f aca="false">F$25^$A32</f>
        <v>0.366957821726167</v>
      </c>
      <c r="G32" s="21" t="n">
        <f aca="false">G$25^$A32</f>
        <v>0.818648829478636</v>
      </c>
    </row>
    <row r="34" customFormat="false" ht="15" hidden="false" customHeight="false" outlineLevel="0" collapsed="false">
      <c r="A34" s="23" t="s">
        <v>67</v>
      </c>
    </row>
    <row r="35" customFormat="false" ht="15" hidden="false" customHeight="false" outlineLevel="0" collapsed="false">
      <c r="A35" s="23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2026-10-26T13:21:26Z</dcterms:created>
  <dc:creator>openpyxl</dc:creator>
  <dc:description/>
  <dc:language>en-US</dc:language>
  <cp:lastModifiedBy/>
  <dcterms:modified xsi:type="dcterms:W3CDTF">2026-10-26T13:21:26Z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