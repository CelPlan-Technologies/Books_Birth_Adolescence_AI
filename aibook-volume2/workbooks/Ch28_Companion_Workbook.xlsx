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License Check" sheetId="2" state="visible" r:id="rId4"/>
    <sheet name="Fit" sheetId="3" state="visible" r:id="rId5"/>
    <sheet name="gpt-oss" sheetId="4" state="visible" r:id="rId6"/>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<sst xmlns="http://schemas.openxmlformats.org/spreadsheetml/2006/main" count="272" uniqueCount="257">
  <si>
    <t xml:space="preserve">Chapter 28 — Open-Weight Model Families</t>
  </si>
  <si>
    <t xml:space="preserve">Companion workbook of The Birth and Adolescence of Artificial Intelligence, Volume 2, by Leonhard Korowajczuk. Blue cells on a light yellow background are inputs: change them and every result recalculates.</t>
  </si>
  <si>
    <t xml:space="preserve">Sheet</t>
  </si>
  <si>
    <t xml:space="preserve">What it computes</t>
  </si>
  <si>
    <t xml:space="preserve">Book reference</t>
  </si>
  <si>
    <t xml:space="preserve">License Check</t>
  </si>
  <si>
    <t xml:space="preserve">Eleven license classes against a company's location, revenue, users and planned uses: permitted, excluded, agreement needed, and thresholds to watch.</t>
  </si>
  <si>
    <t xml:space="preserve">Section 28.8, Table 28.3, Worked Example 28.1</t>
  </si>
  <si>
    <t xml:space="preserve">Fit</t>
  </si>
  <si>
    <t xml:space="preserve">Weights at a chosen precision against the memory of the Box and Rack configurations; memory left for caches; bandwidth-limited decode ceilings.</t>
  </si>
  <si>
    <t xml:space="preserve">Section 28.9, Figure 28.4, Worked Examples 28.2 and 28.3</t>
  </si>
  <si>
    <t xml:space="preserve">gpt-oss</t>
  </si>
  <si>
    <t xml:space="preserve">gpt-oss-120b on the advanced Box: mixed-precision weights, KV cache, concurrent users, bytes read per token and decode ceilings.</t>
  </si>
  <si>
    <t xml:space="preserve">Section 28.9, Worked Example 28.2</t>
  </si>
  <si>
    <t xml:space="preserve">Notes</t>
  </si>
  <si>
    <t xml:space="preserve">Units are decimal (1 GB = 10^9 bytes). Prices and thresholds in US$ as of October 2026.</t>
  </si>
  <si>
    <t xml:space="preserve">License Check is an illustration of the terms summarized in Table 28.3, not legal advice; read the license file of the exact checkpoint.</t>
  </si>
  <si>
    <t xml:space="preserve">Decode ceilings are bandwidth bounds for one user (Section 13.1); real engines reach a fraction of them, which the Fit sheet applies to the Rack replica.</t>
  </si>
  <si>
    <t xml:space="preserve">Checking Licenses for a Mid-Sized European Company (Worked Example 28.1)</t>
  </si>
  <si>
    <t xml:space="preserve">Company and planned uses</t>
  </si>
  <si>
    <t xml:space="preserve">Value</t>
  </si>
  <si>
    <t xml:space="preserve">Value in the book</t>
  </si>
  <si>
    <t xml:space="preserve">Principal place of business in the EU (1 = yes, 0 = no)</t>
  </si>
  <si>
    <t xml:space="preserve">Annual revenue of the licensee and its affiliates (US$ million)</t>
  </si>
  <si>
    <t xml:space="preserve">Monthly active users of its products (millions; not stated, assumed small)</t>
  </si>
  <si>
    <t xml:space="preserve">Use (a): internal assistant (1 = planned, 0 = not)</t>
  </si>
  <si>
    <t xml:space="preserve">Use (b): paid analysis service for clients, model-as-a-service (1/0)</t>
  </si>
  <si>
    <t xml:space="preserve">Use (c): distill a small model from its outputs (1/0)</t>
  </si>
  <si>
    <t xml:space="preserve">Watch a threshold within this multiple of the company's revenue or users</t>
  </si>
  <si>
    <t xml:space="preserve">Monthly revenue (US$ million)</t>
  </si>
  <si>
    <t xml:space="preserve">2.5</t>
  </si>
  <si>
    <t xml:space="preserve">License class (Table 28.3)</t>
  </si>
  <si>
    <t xml:space="preserve">Examples</t>
  </si>
  <si>
    <t xml:space="preserve">Revenue threshold, annual equivalent (US$ million)</t>
  </si>
  <si>
    <t xml:space="preserve">User threshold (million monthly users)</t>
  </si>
  <si>
    <t xml:space="preserve">(a) Internal assistant</t>
  </si>
  <si>
    <t xml:space="preserve">(b) Paid service for clients</t>
  </si>
  <si>
    <t xml:space="preserve">(c) Distillation</t>
  </si>
  <si>
    <t xml:space="preserve">Overall</t>
  </si>
  <si>
    <t xml:space="preserve">Watch</t>
  </si>
  <si>
    <t xml:space="preserve">In the book (Worked Example 28.1)</t>
  </si>
  <si>
    <t xml:space="preserve">Main conditions</t>
  </si>
  <si>
    <t xml:space="preserve">Apache 2.0</t>
  </si>
  <si>
    <t xml:space="preserve">gpt-oss, Gemma 4, Qwen3.5, Mistral Large 3, Command A+</t>
  </si>
  <si>
    <t xml:space="preserve">permitted for all three</t>
  </si>
  <si>
    <t xml:space="preserve">Use, modify, redistribute; keep notices; patent grant</t>
  </si>
  <si>
    <t xml:space="preserve">MIT</t>
  </si>
  <si>
    <t xml:space="preserve">DeepSeek-V4</t>
  </si>
  <si>
    <t xml:space="preserve">Use, modify, redistribute; keep notice; distillation allowed</t>
  </si>
  <si>
    <t xml:space="preserve">Llama Community License, text-only (3.1, 3.3)</t>
  </si>
  <si>
    <t xml:space="preserve">Llama 3.1, Llama 3.3</t>
  </si>
  <si>
    <t xml:space="preserve">permitted, with attribution</t>
  </si>
  <si>
    <t xml:space="preserve">“Built with Llama”; “Llama” prefix on any distilled model it distributes or offers; 700 million monthly users at release</t>
  </si>
  <si>
    <t xml:space="preserve">Llama Community License, multimodal (3.2 Vision, 4)</t>
  </si>
  <si>
    <t xml:space="preserve">Llama 4, Llama 3.2 Vision</t>
  </si>
  <si>
    <t xml:space="preserve">not licensed (EU business)</t>
  </si>
  <si>
    <t xml:space="preserve">No license for licensees whose principal place of business is in the EU</t>
  </si>
  <si>
    <t xml:space="preserve">Modified MIT, revenue cap</t>
  </si>
  <si>
    <t xml:space="preserve">Mistral Medium 3.5</t>
  </si>
  <si>
    <t xml:space="preserve">permitted; ends if acquired by a larger group</t>
  </si>
  <si>
    <t xml:space="preserve">No rights above US$20 million monthly revenue (240 a year); group revenue counts</t>
  </si>
  <si>
    <t xml:space="preserve">Qwen3.8-Max License</t>
  </si>
  <si>
    <t xml:space="preserve">Qwen3.8-2.4T</t>
  </si>
  <si>
    <t xml:space="preserve">permitted</t>
  </si>
  <si>
    <t xml:space="preserve">Agreement for model-as-a-service above US$50 million revenue in any 12 months</t>
  </si>
  <si>
    <t xml:space="preserve">GLM-5.3 License</t>
  </si>
  <si>
    <t xml:space="preserve">GLM-5.3</t>
  </si>
  <si>
    <t xml:space="preserve">Security review for model-as-a-service licensees above US$10 billion a year</t>
  </si>
  <si>
    <t xml:space="preserve">Kimi K3 License</t>
  </si>
  <si>
    <t xml:space="preserve">Kimi K3</t>
  </si>
  <si>
    <t xml:space="preserve">separate agreement for (b)</t>
  </si>
  <si>
    <t xml:space="preserve">Model-as-a-service above US$20 million aggregate revenue (licensee and affiliates) in any 12 months; internal use exempt</t>
  </si>
  <si>
    <t xml:space="preserve">MiniMax Community License</t>
  </si>
  <si>
    <t xml:space="preserve">MiniMax-M3</t>
  </si>
  <si>
    <t xml:space="preserve">prior written authorization</t>
  </si>
  <si>
    <t xml:space="preserve">Above US$20 million annual revenue: prior written authorization for any commercial use; no military use</t>
  </si>
  <si>
    <t xml:space="preserve">CC BY-NC</t>
  </si>
  <si>
    <t xml:space="preserve">Command A</t>
  </si>
  <si>
    <t xml:space="preserve">not usable commercially</t>
  </si>
  <si>
    <t xml:space="preserve">Non-commercial use only</t>
  </si>
  <si>
    <t xml:space="preserve">Grok 2 Community License</t>
  </si>
  <si>
    <t xml:space="preserve">Grok 2</t>
  </si>
  <si>
    <t xml:space="preserve">usable; outputs may not train the distilled model</t>
  </si>
  <si>
    <t xml:space="preserve">Acceptable-use policy; no use of outputs to train other foundation or general-purpose models</t>
  </si>
  <si>
    <t xml:space="preserve">Summary</t>
  </si>
  <si>
    <t xml:space="preserve">Workbook</t>
  </si>
  <si>
    <t xml:space="preserve">License classes checked</t>
  </si>
  <si>
    <t xml:space="preserve">eleven</t>
  </si>
  <si>
    <t xml:space="preserve">Classes that exclude the company or a planned use, or need an agreement</t>
  </si>
  <si>
    <t xml:space="preserve">five</t>
  </si>
  <si>
    <t xml:space="preserve">Permitted classes whose threshold is close enough to watch</t>
  </si>
  <si>
    <t xml:space="preserve">two more</t>
  </si>
  <si>
    <t xml:space="preserve">Each use cell applies the condition of Table 28.3 to the inputs above; Overall takes the most restrictive of the planned uses. Thresholds are annual equivalents: US$20 million a month = 240 a year.</t>
  </si>
  <si>
    <t xml:space="preserve">Watch is this workbook's rule for the book's “depend on facts that can change”: a permitted class whose revenue or user threshold is within the chosen multiple (default 10×) of the company's figures.</t>
  </si>
  <si>
    <t xml:space="preserve">Mistral Medium 3.5 also ends on acquisition by, or work for, a larger group: enter the group's revenue to test it. Kimi K3 and Qwen3.8-Max add display of the model name above 100 million users or US$20 million monthly revenue.</t>
  </si>
  <si>
    <t xml:space="preserve">Reading: five of the eleven classes exclude this company or a planned use, or need negotiation; two more (Mistral Medium 3.5, Qwen3.8-Max) depend on size or ownership. An illustration of the terms, not legal advice.</t>
  </si>
  <si>
    <t xml:space="preserve">Will It Fit, and How Fast? (Worked Examples 28.2 and 28.3)</t>
  </si>
  <si>
    <t xml:space="preserve">Hardware (Tables P.3, 15.2, A.6)</t>
  </si>
  <si>
    <t xml:space="preserve">Advanced Box: RTX PRO 6000 Blackwell</t>
  </si>
  <si>
    <t xml:space="preserve">Advanced Box: GB10 system</t>
  </si>
  <si>
    <t xml:space="preserve">Rack entry replica: 4 × RTX PRO 6000 Server Edition</t>
  </si>
  <si>
    <t xml:space="preserve">GPUs (number)</t>
  </si>
  <si>
    <t xml:space="preserve">Memory per GPU (GB)</t>
  </si>
  <si>
    <t xml:space="preserve">Memory bandwidth per GPU (GB/s)</t>
  </si>
  <si>
    <t xml:space="preserve">Runtime reserve per GPU (GB)</t>
  </si>
  <si>
    <t xml:space="preserve">Achieved fraction of the decode ceiling, one user, low</t>
  </si>
  <si>
    <t xml:space="preserve">Achieved fraction of the decode ceiling, one user, high</t>
  </si>
  <si>
    <t xml:space="preserve">Memory for models (GB)</t>
  </si>
  <si>
    <t xml:space="preserve">Aggregate bandwidth (GB/s)</t>
  </si>
  <si>
    <t xml:space="preserve">Runtime reserve (GB)</t>
  </si>
  <si>
    <t xml:space="preserve">Model</t>
  </si>
  <si>
    <t xml:space="preserve">Total parameters (B)</t>
  </si>
  <si>
    <t xml:space="preserve">Active parameters (B)</t>
  </si>
  <si>
    <t xml:space="preserve">Bits per weight</t>
  </si>
  <si>
    <t xml:space="preserve">Published size (GB; blank = computed)</t>
  </si>
  <si>
    <t xml:space="preserve">Weights (GB)</t>
  </si>
  <si>
    <t xml:space="preserve">Read per token (GB)</t>
  </si>
  <si>
    <t xml:space="preserve">Left for caches: RTX PRO 6000 (GB)</t>
  </si>
  <si>
    <t xml:space="preserve">Left for caches: GB10 (GB)</t>
  </si>
  <si>
    <t xml:space="preserve">Left for caches: Rack replica (GB)</t>
  </si>
  <si>
    <t xml:space="preserve">Ceiling RTX PRO 6000 (tokens/s)</t>
  </si>
  <si>
    <t xml:space="preserve">Ceiling GB10 (tokens/s)</t>
  </si>
  <si>
    <t xml:space="preserve">Ceiling Rack replica (tokens/s)</t>
  </si>
  <si>
    <t xml:space="preserve">Rack, one user, low (tokens/s)</t>
  </si>
  <si>
    <t xml:space="preserve">Rack, one user, high (tokens/s)</t>
  </si>
  <si>
    <t xml:space="preserve">DeepSeek-V4-Flash (Worked Example 28.3)</t>
  </si>
  <si>
    <t xml:space="preserve">DeepSeek-V4-Flash, published checkpoint (FP4 experts)</t>
  </si>
  <si>
    <t xml:space="preserve">Qwen3.5-397B-A17B</t>
  </si>
  <si>
    <t xml:space="preserve">Mistral Large 3</t>
  </si>
  <si>
    <t xml:space="preserve">Dense 405B model</t>
  </si>
  <si>
    <t xml:space="preserve">Dense 70B model at Q4_K_M (Worked Example 28.2)</t>
  </si>
  <si>
    <t xml:space="preserve">gpt-oss-120b, MXFP4 experts + BF16 (gpt-oss sheet)</t>
  </si>
  <si>
    <t xml:space="preserve">mixed</t>
  </si>
  <si>
    <t xml:space="preserve">see gpt-oss</t>
  </si>
  <si>
    <t xml:space="preserve">Qwen3.5-122B-A10B (Table 28.4, extra row)</t>
  </si>
  <si>
    <t xml:space="preserve">Qwen3.6-35B-A3B (Table 28.4, extra row)</t>
  </si>
  <si>
    <t xml:space="preserve">Key results</t>
  </si>
  <si>
    <t xml:space="preserve">Rack replica: memory for models (GB)</t>
  </si>
  <si>
    <t xml:space="preserve">384</t>
  </si>
  <si>
    <t xml:space="preserve">Rack replica: aggregate bandwidth (GB/s)</t>
  </si>
  <si>
    <t xml:space="preserve">6,388</t>
  </si>
  <si>
    <t xml:space="preserve">DeepSeek-V4-Flash weights at 4.9 bits (GB)</t>
  </si>
  <si>
    <t xml:space="preserve">≈ 174</t>
  </si>
  <si>
    <t xml:space="preserve">Qwen3.5-397B-A17B weights (GB)</t>
  </si>
  <si>
    <t xml:space="preserve">≈ 243</t>
  </si>
  <si>
    <t xml:space="preserve">Mistral Large 3 weights (GB)</t>
  </si>
  <si>
    <t xml:space="preserve">≈ 413</t>
  </si>
  <si>
    <t xml:space="preserve">Mistral Large 3 on the Rack replica</t>
  </si>
  <si>
    <t xml:space="preserve">too large</t>
  </si>
  <si>
    <t xml:space="preserve">V4-Flash: left for caches on the Rack replica (GB)</t>
  </si>
  <si>
    <t xml:space="preserve">≈ 200</t>
  </si>
  <si>
    <t xml:space="preserve">V4-Flash, published checkpoint: left for caches (GB)</t>
  </si>
  <si>
    <t xml:space="preserve">≈ 216</t>
  </si>
  <si>
    <t xml:space="preserve">Qwen3.5-397B: left for caches (GB)</t>
  </si>
  <si>
    <t xml:space="preserve">≈ 133</t>
  </si>
  <si>
    <t xml:space="preserve">V4-Flash: read per token (GB)</t>
  </si>
  <si>
    <t xml:space="preserve">8.0</t>
  </si>
  <si>
    <t xml:space="preserve">V4-Flash: decode ceiling, one user (tokens/s)</t>
  </si>
  <si>
    <t xml:space="preserve">≈ 800</t>
  </si>
  <si>
    <t xml:space="preserve">V4-Flash over PCIe, one user, low (tokens/s)</t>
  </si>
  <si>
    <t xml:space="preserve">perhaps 150</t>
  </si>
  <si>
    <t xml:space="preserve">V4-Flash over PCIe, one user, high (tokens/s)</t>
  </si>
  <si>
    <t xml:space="preserve">perhaps 350</t>
  </si>
  <si>
    <t xml:space="preserve">Qwen3.5-397B: read per token (GB)</t>
  </si>
  <si>
    <t xml:space="preserve">10.4</t>
  </si>
  <si>
    <t xml:space="preserve">Qwen3.5-397B: decode ceiling (tokens/s)</t>
  </si>
  <si>
    <t xml:space="preserve">≈ 610</t>
  </si>
  <si>
    <t xml:space="preserve">Dense 405B: weights (GB)</t>
  </si>
  <si>
    <t xml:space="preserve">248</t>
  </si>
  <si>
    <t xml:space="preserve">Dense 405B: decode ceiling on the Rack replica (tokens/s)</t>
  </si>
  <si>
    <t xml:space="preserve">about 26</t>
  </si>
  <si>
    <t xml:space="preserve">V4-Flash ceiling ÷ dense 405B ceiling</t>
  </si>
  <si>
    <t xml:space="preserve">some thirty times</t>
  </si>
  <si>
    <t xml:space="preserve">Dense 70B at Q4_K_M: weights (GB)</t>
  </si>
  <si>
    <t xml:space="preserve">≈ 43</t>
  </si>
  <si>
    <t xml:space="preserve">Dense 70B: ceiling on the RTX PRO 6000 (tokens/s)</t>
  </si>
  <si>
    <t xml:space="preserve">about 42</t>
  </si>
  <si>
    <t xml:space="preserve">Dense 70B: ceiling on the GB10 (tokens/s)</t>
  </si>
  <si>
    <t xml:space="preserve">about 6</t>
  </si>
  <si>
    <t xml:space="preserve">Weights = total parameters × bits ÷ 8, or the published size when one is entered. Read per token = active parameters × bits ÷ 8 (Section 13.1); the KV cache read is excluded here (see the gpt-oss sheet).</t>
  </si>
  <si>
    <t xml:space="preserve">Ceiling = aggregate bandwidth ÷ bytes read per token. Over PCIe at batch size 1, the exchanges between GPUs take about as long as the weight reads, so Worked Example 28.3 expects 0.2–0.45 of the ceiling: replace with a measurement (Section 16.6).</t>
  </si>
  <si>
    <t xml:space="preserve">The KV cache and the runtime need another 10–30% beyond the weights, more for long contexts or many users (Section 13.2). Rows 22–23 are extra rows from Table 28.4, not in the worked examples.</t>
  </si>
  <si>
    <t xml:space="preserve">Reading: four workstation-class GPUs hold a 284B mixture of experts with about 200 GB to spare and read only 8 GB per token; a dense 405B model fits too, but reads all 248 GB per token, some thirty times slower.</t>
  </si>
  <si>
    <t xml:space="preserve">gpt-oss-120b on the Advanced Box (Worked Example 28.2)</t>
  </si>
  <si>
    <t xml:space="preserve">Inputs</t>
  </si>
  <si>
    <t xml:space="preserve">Expert parameters (B)</t>
  </si>
  <si>
    <t xml:space="preserve">Bits per expert weight (MXFP4)</t>
  </si>
  <si>
    <t xml:space="preserve">Attention and embedding parameters (B)</t>
  </si>
  <si>
    <t xml:space="preserve">Bytes per attention and embedding parameter (BF16)</t>
  </si>
  <si>
    <t xml:space="preserve">Experts per layer</t>
  </si>
  <si>
    <t xml:space="preserve">Experts active per token</t>
  </si>
  <si>
    <t xml:space="preserve">Attention and output-projection parameters read per token (B)</t>
  </si>
  <si>
    <t xml:space="preserve">Bytes per such parameter when read (2 = BF16, 1 = 8-bit)</t>
  </si>
  <si>
    <t xml:space="preserve">Layers</t>
  </si>
  <si>
    <t xml:space="preserve">Layers keeping the full context (the rest use a 128-token window)</t>
  </si>
  <si>
    <t xml:space="preserve">Key–value heads</t>
  </si>
  <si>
    <t xml:space="preserve">Head dimension</t>
  </si>
  <si>
    <t xml:space="preserve">Bytes per cached element (BF16)</t>
  </si>
  <si>
    <t xml:space="preserve">Full context (tokens)</t>
  </si>
  <si>
    <t xml:space="preserve">Shorter context (tokens)</t>
  </si>
  <si>
    <t xml:space="preserve">GPU memory, RTX PRO 6000 Blackwell (GB)</t>
  </si>
  <si>
    <t xml:space="preserve">Unified memory, GB10 system (GB)</t>
  </si>
  <si>
    <t xml:space="preserve">Bandwidth, RTX PRO 6000 Blackwell (GB/s)</t>
  </si>
  <si>
    <t xml:space="preserve">Bandwidth, GB10 system (GB/s)</t>
  </si>
  <si>
    <t xml:space="preserve">Total parameters of gpt-oss-120b (B)</t>
  </si>
  <si>
    <t xml:space="preserve">Parameters of the dense comparison model (B)</t>
  </si>
  <si>
    <t xml:space="preserve">Weights and memory</t>
  </si>
  <si>
    <t xml:space="preserve">Expert weights (GB)</t>
  </si>
  <si>
    <t xml:space="preserve">61</t>
  </si>
  <si>
    <t xml:space="preserve">Attention and embedding weights (GB)</t>
  </si>
  <si>
    <t xml:space="preserve">4.2</t>
  </si>
  <si>
    <t xml:space="preserve">Total weights (GB)</t>
  </si>
  <si>
    <t xml:space="preserve">≈ 65 (65.2)</t>
  </si>
  <si>
    <t xml:space="preserve">KV cache per token (bytes)</t>
  </si>
  <si>
    <t xml:space="preserve">36,864</t>
  </si>
  <si>
    <t xml:space="preserve">KV cache for the full context (GB)</t>
  </si>
  <si>
    <t xml:space="preserve">4.8</t>
  </si>
  <si>
    <t xml:space="preserve">Memory for caches on the RTX PRO 6000 (GB)</t>
  </si>
  <si>
    <t xml:space="preserve">≈ 28.8</t>
  </si>
  <si>
    <t xml:space="preserve">Users at the full context</t>
  </si>
  <si>
    <t xml:space="preserve">Users at the shorter context</t>
  </si>
  <si>
    <t xml:space="preserve">23</t>
  </si>
  <si>
    <t xml:space="preserve">Memory for caches on the GB10 (GB; not in the book)</t>
  </si>
  <si>
    <t xml:space="preserve">Bytes read per token</t>
  </si>
  <si>
    <t xml:space="preserve">Active expert parameters (B)</t>
  </si>
  <si>
    <t xml:space="preserve">3.6</t>
  </si>
  <si>
    <t xml:space="preserve">Expert bytes read (GB)</t>
  </si>
  <si>
    <t xml:space="preserve">1.9</t>
  </si>
  <si>
    <t xml:space="preserve">Attention and output-projection bytes read (GB)</t>
  </si>
  <si>
    <t xml:space="preserve">3.0</t>
  </si>
  <si>
    <t xml:space="preserve">Total read per token (GB)</t>
  </si>
  <si>
    <t xml:space="preserve">≈ 4.9</t>
  </si>
  <si>
    <t xml:space="preserve">Decode ceiling, RTX PRO 6000, no context (tokens/s)</t>
  </si>
  <si>
    <t xml:space="preserve">≈ 365</t>
  </si>
  <si>
    <t xml:space="preserve">Decode ceiling, GB10, no context (tokens/s)</t>
  </si>
  <si>
    <t xml:space="preserve">≈ 56</t>
  </si>
  <si>
    <t xml:space="preserve">KV cache read per token at the shorter context (GB)</t>
  </si>
  <si>
    <t xml:space="preserve">1.2</t>
  </si>
  <si>
    <t xml:space="preserve">Ceiling with that cache, RTX PRO 6000 (tokens/s)</t>
  </si>
  <si>
    <t xml:space="preserve">about 290</t>
  </si>
  <si>
    <t xml:space="preserve">Ceiling with that cache, GB10 (tokens/s)</t>
  </si>
  <si>
    <t xml:space="preserve">about 45</t>
  </si>
  <si>
    <t xml:space="preserve">Read per token with 8-bit attention and output weights (GB)</t>
  </si>
  <si>
    <t xml:space="preserve">about 3.4</t>
  </si>
  <si>
    <t xml:space="preserve">8-bit ceiling, RTX PRO 6000 (tokens/s)</t>
  </si>
  <si>
    <t xml:space="preserve">about 520</t>
  </si>
  <si>
    <t xml:space="preserve">8-bit ceiling, GB10 (tokens/s)</t>
  </si>
  <si>
    <t xml:space="preserve">about 80</t>
  </si>
  <si>
    <t xml:space="preserve">Against a dense 70B model (Fit sheet)</t>
  </si>
  <si>
    <t xml:space="preserve">Dense 70B ceiling, RTX PRO 6000 (tokens/s; Fit sheet)</t>
  </si>
  <si>
    <t xml:space="preserve">Parameters, gpt-oss-120b ÷ dense model</t>
  </si>
  <si>
    <t xml:space="preserve">1.7</t>
  </si>
  <si>
    <t xml:space="preserve">Speed, gpt-oss-120b ÷ dense 70B</t>
  </si>
  <si>
    <t xml:space="preserve">about nine</t>
  </si>
  <si>
    <t xml:space="preserve">Only 18 of the 36 layers keep the full context; the 128-token window caches of the other 18 layers (about 4.7 MB) are ignored, as in the text.</t>
  </si>
  <si>
    <t xml:space="preserve">llama.cpp's published GB10 benchmarks reach about 60 tokens/s (Table 32.4), between the BF16 and 8-bit ceilings above.</t>
  </si>
  <si>
    <t xml:space="preserve">Reading: the mixture of experts holds 1.7 times the parameters of the dense 70B model yet decodes about nine times faster on the same GPU.</t>
  </si>
</sst>
</file>

<file path=xl/styles.xml><?xml version="1.0" encoding="utf-8"?>
<styleSheet xmlns="http://schemas.openxmlformats.org/spreadsheetml/2006/main">
  <numFmts count="7">
    <numFmt numFmtId="164" formatCode="General"/>
    <numFmt numFmtId="165" formatCode="0"/>
    <numFmt numFmtId="166" formatCode="#,##0.0"/>
    <numFmt numFmtId="167" formatCode="#,##0.00"/>
    <numFmt numFmtId="168" formatCode="#,##0"/>
    <numFmt numFmtId="169" formatCode="0.0"/>
    <numFmt numFmtId="170"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8A6410"/>
      <name val="Arial"/>
      <family val="0"/>
      <charset val="1"/>
    </font>
    <font>
      <sz val="9"/>
      <color rgb="FF595959"/>
      <name val="Arial"/>
      <family val="0"/>
      <charset val="1"/>
    </font>
    <font>
      <b val="true"/>
      <sz val="10"/>
      <name val="Arial"/>
      <family val="0"/>
      <charset val="1"/>
    </font>
    <font>
      <sz val="10"/>
      <name val="Arial"/>
      <family val="0"/>
      <charset val="1"/>
    </font>
    <font>
      <sz val="10"/>
      <color rgb="FF595959"/>
      <name val="Arial"/>
      <family val="0"/>
      <charset val="1"/>
    </font>
    <font>
      <b val="true"/>
      <sz val="13"/>
      <color rgb="FF8A6410"/>
      <name val="Arial"/>
      <family val="0"/>
      <charset val="1"/>
    </font>
    <font>
      <sz val="10"/>
      <color rgb="FF0000FF"/>
      <name val="Arial"/>
      <family val="0"/>
      <charset val="1"/>
    </font>
    <font>
      <i val="true"/>
      <sz val="9"/>
      <color rgb="FF595959"/>
      <name val="Arial"/>
      <family val="0"/>
      <charset val="1"/>
    </font>
  </fonts>
  <fills count="4">
    <fill>
      <patternFill patternType="none"/>
    </fill>
    <fill>
      <patternFill patternType="gray125"/>
    </fill>
    <fill>
      <patternFill patternType="solid">
        <fgColor rgb="FFF7EFDD"/>
        <bgColor rgb="FFFFF9E6"/>
      </patternFill>
    </fill>
    <fill>
      <patternFill patternType="solid">
        <fgColor rgb="FFFFF9E6"/>
        <bgColor rgb="FFF7EFD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70" fontId="10" fillId="3"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9E6"/>
      <rgbColor rgb="FFFF0000"/>
      <rgbColor rgb="FF00FF00"/>
      <rgbColor rgb="FF0000FF"/>
      <rgbColor rgb="FFFFFF00"/>
      <rgbColor rgb="FFFF00FF"/>
      <rgbColor rgb="FF00FFFF"/>
      <rgbColor rgb="FF800000"/>
      <rgbColor rgb="FF008000"/>
      <rgbColor rgb="FF000080"/>
      <rgbColor rgb="FF8A6410"/>
      <rgbColor rgb="FF800080"/>
      <rgbColor rgb="FF008080"/>
      <rgbColor rgb="FFBFBFBF"/>
      <rgbColor rgb="FF808080"/>
      <rgbColor rgb="FF9999FF"/>
      <rgbColor rgb="FF993366"/>
      <rgbColor rgb="FFF7EFD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2"/>
    <col collapsed="false" customWidth="true" hidden="false" outlineLevel="0" max="3" min="3" style="0" width="40"/>
  </cols>
  <sheetData>
    <row r="1" customFormat="false" ht="15.75" hidden="false" customHeight="true" outlineLevel="0" collapsed="false">
      <c r="A1" s="1" t="s">
        <v>0</v>
      </c>
    </row>
    <row r="2" customFormat="false" ht="30" hidden="false" customHeight="true" outlineLevel="0" collapsed="false">
      <c r="A2" s="2" t="s">
        <v>1</v>
      </c>
      <c r="B2" s="2"/>
      <c r="C2" s="2"/>
    </row>
    <row r="4" customFormat="false" ht="15" hidden="false" customHeight="false" outlineLevel="0" collapsed="false">
      <c r="A4" s="3" t="s">
        <v>2</v>
      </c>
      <c r="B4" s="3" t="s">
        <v>3</v>
      </c>
      <c r="C4" s="3" t="s">
        <v>4</v>
      </c>
    </row>
    <row r="5" customFormat="false" ht="30" hidden="false" customHeight="true" outlineLevel="0" collapsed="false">
      <c r="A5" s="4" t="s">
        <v>5</v>
      </c>
      <c r="B5" s="5" t="s">
        <v>6</v>
      </c>
      <c r="C5" s="5" t="s">
        <v>7</v>
      </c>
    </row>
    <row r="6" customFormat="false" ht="30" hidden="false" customHeight="true" outlineLevel="0" collapsed="false">
      <c r="A6" s="4" t="s">
        <v>8</v>
      </c>
      <c r="B6" s="5" t="s">
        <v>9</v>
      </c>
      <c r="C6" s="5" t="s">
        <v>10</v>
      </c>
    </row>
    <row r="7" customFormat="false" ht="30" hidden="false" customHeight="true" outlineLevel="0" collapsed="false">
      <c r="A7" s="4" t="s">
        <v>11</v>
      </c>
      <c r="B7" s="5" t="s">
        <v>12</v>
      </c>
      <c r="C7" s="5" t="s">
        <v>13</v>
      </c>
    </row>
    <row r="9" customFormat="false" ht="15" hidden="false" customHeight="false" outlineLevel="0" collapsed="false">
      <c r="A9" s="6" t="s">
        <v>14</v>
      </c>
    </row>
    <row r="10" customFormat="false" ht="15" hidden="false" customHeight="true" outlineLevel="0" collapsed="false">
      <c r="A10" s="7" t="s">
        <v>15</v>
      </c>
      <c r="B10" s="7"/>
      <c r="C10" s="7"/>
    </row>
    <row r="11" customFormat="false" ht="30" hidden="false" customHeight="true" outlineLevel="0" collapsed="false">
      <c r="A11" s="7" t="s">
        <v>16</v>
      </c>
      <c r="B11" s="7"/>
      <c r="C11" s="7"/>
    </row>
    <row r="12" customFormat="false" ht="30" hidden="false" customHeight="true" outlineLevel="0" collapsed="false">
      <c r="A12" s="7" t="s">
        <v>17</v>
      </c>
      <c r="B12" s="7"/>
      <c r="C12" s="7"/>
    </row>
  </sheetData>
  <mergeCells count="4">
    <mergeCell ref="A2:C2"/>
    <mergeCell ref="A10:C10"/>
    <mergeCell ref="A11:C11"/>
    <mergeCell ref="A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0"/>
    <col collapsed="false" customWidth="true" hidden="false" outlineLevel="0" max="3" min="3" style="0" width="15"/>
    <col collapsed="false" customWidth="true" hidden="false" outlineLevel="0" max="4" min="4" style="0" width="13"/>
    <col collapsed="false" customWidth="true" hidden="false" outlineLevel="0" max="8" min="5" style="0" width="17"/>
    <col collapsed="false" customWidth="true" hidden="false" outlineLevel="0" max="9" min="9" style="0" width="9"/>
    <col collapsed="false" customWidth="true" hidden="false" outlineLevel="0" max="10" min="10" style="0" width="30"/>
    <col collapsed="false" customWidth="true" hidden="false" outlineLevel="0" max="11" min="11" style="0" width="70"/>
  </cols>
  <sheetData>
    <row r="1" customFormat="false" ht="15.75" hidden="false" customHeight="true" outlineLevel="0" collapsed="false">
      <c r="A1" s="8" t="s">
        <v>18</v>
      </c>
    </row>
    <row r="3" customFormat="false" ht="15" hidden="false" customHeight="true" outlineLevel="0" collapsed="false">
      <c r="A3" s="9" t="s">
        <v>19</v>
      </c>
      <c r="B3" s="9" t="s">
        <v>20</v>
      </c>
      <c r="C3" s="9" t="s">
        <v>21</v>
      </c>
    </row>
    <row r="4" customFormat="false" ht="15" hidden="false" customHeight="true" outlineLevel="0" collapsed="false">
      <c r="A4" s="10" t="s">
        <v>22</v>
      </c>
      <c r="B4" s="11" t="n">
        <v>1</v>
      </c>
    </row>
    <row r="5" customFormat="false" ht="15" hidden="false" customHeight="true" outlineLevel="0" collapsed="false">
      <c r="A5" s="10" t="s">
        <v>23</v>
      </c>
      <c r="B5" s="12" t="n">
        <v>30</v>
      </c>
    </row>
    <row r="6" customFormat="false" ht="15" hidden="false" customHeight="true" outlineLevel="0" collapsed="false">
      <c r="A6" s="10" t="s">
        <v>24</v>
      </c>
      <c r="B6" s="12" t="n">
        <v>0</v>
      </c>
    </row>
    <row r="7" customFormat="false" ht="15" hidden="false" customHeight="true" outlineLevel="0" collapsed="false">
      <c r="A7" s="10" t="s">
        <v>25</v>
      </c>
      <c r="B7" s="11" t="n">
        <v>1</v>
      </c>
    </row>
    <row r="8" customFormat="false" ht="15" hidden="false" customHeight="true" outlineLevel="0" collapsed="false">
      <c r="A8" s="10" t="s">
        <v>26</v>
      </c>
      <c r="B8" s="11" t="n">
        <v>1</v>
      </c>
    </row>
    <row r="9" customFormat="false" ht="15" hidden="false" customHeight="true" outlineLevel="0" collapsed="false">
      <c r="A9" s="10" t="s">
        <v>27</v>
      </c>
      <c r="B9" s="11" t="n">
        <v>1</v>
      </c>
    </row>
    <row r="10" customFormat="false" ht="15" hidden="false" customHeight="true" outlineLevel="0" collapsed="false">
      <c r="A10" s="10" t="s">
        <v>28</v>
      </c>
      <c r="B10" s="11" t="n">
        <v>10</v>
      </c>
    </row>
    <row r="11" customFormat="false" ht="15" hidden="false" customHeight="true" outlineLevel="0" collapsed="false">
      <c r="A11" s="13" t="s">
        <v>29</v>
      </c>
      <c r="B11" s="14" t="n">
        <f aca="false">B5/12</f>
        <v>2.5</v>
      </c>
      <c r="C11" s="15" t="s">
        <v>30</v>
      </c>
    </row>
    <row r="13" customFormat="false" ht="45" hidden="false" customHeight="true" outlineLevel="0" collapsed="false">
      <c r="A13" s="9" t="s">
        <v>31</v>
      </c>
      <c r="B13" s="9" t="s">
        <v>32</v>
      </c>
      <c r="C13" s="9" t="s">
        <v>33</v>
      </c>
      <c r="D13" s="9" t="s">
        <v>34</v>
      </c>
      <c r="E13" s="9" t="s">
        <v>35</v>
      </c>
      <c r="F13" s="9" t="s">
        <v>36</v>
      </c>
      <c r="G13" s="9" t="s">
        <v>37</v>
      </c>
      <c r="H13" s="9" t="s">
        <v>38</v>
      </c>
      <c r="I13" s="9" t="s">
        <v>39</v>
      </c>
      <c r="J13" s="9" t="s">
        <v>40</v>
      </c>
      <c r="K13" s="9" t="s">
        <v>41</v>
      </c>
    </row>
    <row r="14" customFormat="false" ht="15" hidden="false" customHeight="true" outlineLevel="0" collapsed="false">
      <c r="A14" s="13" t="s">
        <v>42</v>
      </c>
      <c r="B14" s="10" t="s">
        <v>43</v>
      </c>
      <c r="C14" s="10"/>
      <c r="D14" s="10"/>
      <c r="E14" s="10" t="str">
        <f aca="false">IF(B7=0,"not planned","Permitted")</f>
        <v>Permitted</v>
      </c>
      <c r="F14" s="10" t="str">
        <f aca="false">IF(B8=0,"not planned","Permitted")</f>
        <v>Permitted</v>
      </c>
      <c r="G14" s="10" t="str">
        <f aca="false">IF(B9=0,"not planned","Permitted")</f>
        <v>Permitted</v>
      </c>
      <c r="H14" s="13" t="str">
        <f aca="false">IF(COUNTIF(E14:G14,"Excluded")&gt;0,"Excluded",IF(COUNTIF(E14:G14,"Agreement needed")+COUNTIF(E14:G14,"Review needed")&gt;0,"Agreement needed","Permitted"))</f>
        <v>Permitted</v>
      </c>
      <c r="I14" s="13" t="str">
        <f aca="false">IF(H14&lt;&gt;"Permitted","",IF(OR(AND(C14&lt;&gt;"",C14&lt;=B5*B10),AND(D14&lt;&gt;"",B6*B10&gt;=D14)),"watch",""))</f>
        <v/>
      </c>
      <c r="J14" s="16" t="s">
        <v>44</v>
      </c>
      <c r="K14" s="10" t="s">
        <v>45</v>
      </c>
    </row>
    <row r="15" customFormat="false" ht="15" hidden="false" customHeight="true" outlineLevel="0" collapsed="false">
      <c r="A15" s="13" t="s">
        <v>46</v>
      </c>
      <c r="B15" s="10" t="s">
        <v>47</v>
      </c>
      <c r="C15" s="10"/>
      <c r="D15" s="10"/>
      <c r="E15" s="10" t="str">
        <f aca="false">IF(B7=0,"not planned","Permitted")</f>
        <v>Permitted</v>
      </c>
      <c r="F15" s="10" t="str">
        <f aca="false">IF(B8=0,"not planned","Permitted")</f>
        <v>Permitted</v>
      </c>
      <c r="G15" s="10" t="str">
        <f aca="false">IF(B9=0,"not planned","Permitted")</f>
        <v>Permitted</v>
      </c>
      <c r="H15" s="13" t="str">
        <f aca="false">IF(COUNTIF(E15:G15,"Excluded")&gt;0,"Excluded",IF(COUNTIF(E15:G15,"Agreement needed")+COUNTIF(E15:G15,"Review needed")&gt;0,"Agreement needed","Permitted"))</f>
        <v>Permitted</v>
      </c>
      <c r="I15" s="13" t="str">
        <f aca="false">IF(H15&lt;&gt;"Permitted","",IF(OR(AND(C15&lt;&gt;"",C15&lt;=B5*B10),AND(D15&lt;&gt;"",B6*B10&gt;=D15)),"watch",""))</f>
        <v/>
      </c>
      <c r="J15" s="16" t="s">
        <v>44</v>
      </c>
      <c r="K15" s="10" t="s">
        <v>48</v>
      </c>
    </row>
    <row r="16" customFormat="false" ht="15" hidden="false" customHeight="true" outlineLevel="0" collapsed="false">
      <c r="A16" s="13" t="s">
        <v>49</v>
      </c>
      <c r="B16" s="10" t="s">
        <v>50</v>
      </c>
      <c r="C16" s="10"/>
      <c r="D16" s="17" t="n">
        <v>700</v>
      </c>
      <c r="E16" s="10" t="str">
        <f aca="false">IF(B7=0,"not planned",IF(B6&gt;=D16,"Agreement needed","Permitted"))</f>
        <v>Permitted</v>
      </c>
      <c r="F16" s="10" t="str">
        <f aca="false">IF(B8=0,"not planned",IF(B6&gt;=D16,"Agreement needed","Permitted"))</f>
        <v>Permitted</v>
      </c>
      <c r="G16" s="10" t="str">
        <f aca="false">IF(B9=0,"not planned",IF(B6&gt;=D16,"Agreement needed","Permitted"))</f>
        <v>Permitted</v>
      </c>
      <c r="H16" s="13" t="str">
        <f aca="false">IF(COUNTIF(E16:G16,"Excluded")&gt;0,"Excluded",IF(COUNTIF(E16:G16,"Agreement needed")+COUNTIF(E16:G16,"Review needed")&gt;0,"Agreement needed","Permitted"))</f>
        <v>Permitted</v>
      </c>
      <c r="I16" s="13" t="str">
        <f aca="false">IF(H16&lt;&gt;"Permitted","",IF(OR(AND(C16&lt;&gt;"",C16&lt;=B5*B10),AND(D16&lt;&gt;"",B6*B10&gt;=D16)),"watch",""))</f>
        <v/>
      </c>
      <c r="J16" s="16" t="s">
        <v>51</v>
      </c>
      <c r="K16" s="10" t="s">
        <v>52</v>
      </c>
    </row>
    <row r="17" customFormat="false" ht="15" hidden="false" customHeight="true" outlineLevel="0" collapsed="false">
      <c r="A17" s="13" t="s">
        <v>53</v>
      </c>
      <c r="B17" s="10" t="s">
        <v>54</v>
      </c>
      <c r="C17" s="10"/>
      <c r="D17" s="17" t="n">
        <v>700</v>
      </c>
      <c r="E17" s="10" t="str">
        <f aca="false">IF(B7=0,"not planned",IF(B4=1,"Excluded",IF(B6&gt;=D17,"Agreement needed","Permitted")))</f>
        <v>Excluded</v>
      </c>
      <c r="F17" s="10" t="str">
        <f aca="false">IF(B8=0,"not planned",IF(B4=1,"Excluded",IF(B6&gt;=D17,"Agreement needed","Permitted")))</f>
        <v>Excluded</v>
      </c>
      <c r="G17" s="10" t="str">
        <f aca="false">IF(B9=0,"not planned",IF(B4=1,"Excluded",IF(B6&gt;=D17,"Agreement needed","Permitted")))</f>
        <v>Excluded</v>
      </c>
      <c r="H17" s="13" t="str">
        <f aca="false">IF(COUNTIF(E17:G17,"Excluded")&gt;0,"Excluded",IF(COUNTIF(E17:G17,"Agreement needed")+COUNTIF(E17:G17,"Review needed")&gt;0,"Agreement needed","Permitted"))</f>
        <v>Excluded</v>
      </c>
      <c r="I17" s="13" t="str">
        <f aca="false">IF(H17&lt;&gt;"Permitted","",IF(OR(AND(C17&lt;&gt;"",C17&lt;=B5*B10),AND(D17&lt;&gt;"",B6*B10&gt;=D17)),"watch",""))</f>
        <v/>
      </c>
      <c r="J17" s="16" t="s">
        <v>55</v>
      </c>
      <c r="K17" s="10" t="s">
        <v>56</v>
      </c>
    </row>
    <row r="18" customFormat="false" ht="15" hidden="false" customHeight="true" outlineLevel="0" collapsed="false">
      <c r="A18" s="13" t="s">
        <v>57</v>
      </c>
      <c r="B18" s="10" t="s">
        <v>58</v>
      </c>
      <c r="C18" s="17" t="n">
        <v>240</v>
      </c>
      <c r="D18" s="10"/>
      <c r="E18" s="10" t="str">
        <f aca="false">IF(B7=0,"not planned",IF(B5&gt;C18,"Excluded","Permitted"))</f>
        <v>Permitted</v>
      </c>
      <c r="F18" s="10" t="str">
        <f aca="false">IF(B8=0,"not planned",IF(B5&gt;C18,"Excluded","Permitted"))</f>
        <v>Permitted</v>
      </c>
      <c r="G18" s="10" t="str">
        <f aca="false">IF(B9=0,"not planned",IF(B5&gt;C18,"Excluded","Permitted"))</f>
        <v>Permitted</v>
      </c>
      <c r="H18" s="13" t="str">
        <f aca="false">IF(COUNTIF(E18:G18,"Excluded")&gt;0,"Excluded",IF(COUNTIF(E18:G18,"Agreement needed")+COUNTIF(E18:G18,"Review needed")&gt;0,"Agreement needed","Permitted"))</f>
        <v>Permitted</v>
      </c>
      <c r="I18" s="13" t="str">
        <f aca="false">IF(H18&lt;&gt;"Permitted","",IF(OR(AND(C18&lt;&gt;"",C18&lt;=B5*B10),AND(D18&lt;&gt;"",B6*B10&gt;=D18)),"watch",""))</f>
        <v>watch</v>
      </c>
      <c r="J18" s="16" t="s">
        <v>59</v>
      </c>
      <c r="K18" s="10" t="s">
        <v>60</v>
      </c>
    </row>
    <row r="19" customFormat="false" ht="15" hidden="false" customHeight="true" outlineLevel="0" collapsed="false">
      <c r="A19" s="13" t="s">
        <v>61</v>
      </c>
      <c r="B19" s="10" t="s">
        <v>62</v>
      </c>
      <c r="C19" s="17" t="n">
        <v>50</v>
      </c>
      <c r="D19" s="10"/>
      <c r="E19" s="10" t="str">
        <f aca="false">IF(B7=0,"not planned","Permitted")</f>
        <v>Permitted</v>
      </c>
      <c r="F19" s="10" t="str">
        <f aca="false">IF(B8=0,"not planned",IF(B5&gt;C19,"Agreement needed","Permitted"))</f>
        <v>Permitted</v>
      </c>
      <c r="G19" s="10" t="str">
        <f aca="false">IF(B9=0,"not planned","Permitted")</f>
        <v>Permitted</v>
      </c>
      <c r="H19" s="13" t="str">
        <f aca="false">IF(COUNTIF(E19:G19,"Excluded")&gt;0,"Excluded",IF(COUNTIF(E19:G19,"Agreement needed")+COUNTIF(E19:G19,"Review needed")&gt;0,"Agreement needed","Permitted"))</f>
        <v>Permitted</v>
      </c>
      <c r="I19" s="13" t="str">
        <f aca="false">IF(H19&lt;&gt;"Permitted","",IF(OR(AND(C19&lt;&gt;"",C19&lt;=B5*B10),AND(D19&lt;&gt;"",B6*B10&gt;=D19)),"watch",""))</f>
        <v>watch</v>
      </c>
      <c r="J19" s="16" t="s">
        <v>63</v>
      </c>
      <c r="K19" s="10" t="s">
        <v>64</v>
      </c>
    </row>
    <row r="20" customFormat="false" ht="15" hidden="false" customHeight="true" outlineLevel="0" collapsed="false">
      <c r="A20" s="13" t="s">
        <v>65</v>
      </c>
      <c r="B20" s="10" t="s">
        <v>66</v>
      </c>
      <c r="C20" s="17" t="n">
        <v>10000</v>
      </c>
      <c r="D20" s="10"/>
      <c r="E20" s="10" t="str">
        <f aca="false">IF(B7=0,"not planned","Permitted")</f>
        <v>Permitted</v>
      </c>
      <c r="F20" s="10" t="str">
        <f aca="false">IF(B8=0,"not planned",IF(B5&gt;C20,"Review needed","Permitted"))</f>
        <v>Permitted</v>
      </c>
      <c r="G20" s="10" t="str">
        <f aca="false">IF(B9=0,"not planned","Permitted")</f>
        <v>Permitted</v>
      </c>
      <c r="H20" s="13" t="str">
        <f aca="false">IF(COUNTIF(E20:G20,"Excluded")&gt;0,"Excluded",IF(COUNTIF(E20:G20,"Agreement needed")+COUNTIF(E20:G20,"Review needed")&gt;0,"Agreement needed","Permitted"))</f>
        <v>Permitted</v>
      </c>
      <c r="I20" s="13" t="str">
        <f aca="false">IF(H20&lt;&gt;"Permitted","",IF(OR(AND(C20&lt;&gt;"",C20&lt;=B5*B10),AND(D20&lt;&gt;"",B6*B10&gt;=D20)),"watch",""))</f>
        <v/>
      </c>
      <c r="J20" s="16" t="s">
        <v>63</v>
      </c>
      <c r="K20" s="10" t="s">
        <v>67</v>
      </c>
    </row>
    <row r="21" customFormat="false" ht="15" hidden="false" customHeight="true" outlineLevel="0" collapsed="false">
      <c r="A21" s="13" t="s">
        <v>68</v>
      </c>
      <c r="B21" s="10" t="s">
        <v>69</v>
      </c>
      <c r="C21" s="17" t="n">
        <v>20</v>
      </c>
      <c r="D21" s="10"/>
      <c r="E21" s="10" t="str">
        <f aca="false">IF(B7=0,"not planned","Permitted")</f>
        <v>Permitted</v>
      </c>
      <c r="F21" s="10" t="str">
        <f aca="false">IF(B8=0,"not planned",IF(B5&gt;C21,"Agreement needed","Permitted"))</f>
        <v>Agreement needed</v>
      </c>
      <c r="G21" s="10" t="str">
        <f aca="false">IF(B9=0,"not planned","Permitted")</f>
        <v>Permitted</v>
      </c>
      <c r="H21" s="13" t="str">
        <f aca="false">IF(COUNTIF(E21:G21,"Excluded")&gt;0,"Excluded",IF(COUNTIF(E21:G21,"Agreement needed")+COUNTIF(E21:G21,"Review needed")&gt;0,"Agreement needed","Permitted"))</f>
        <v>Agreement needed</v>
      </c>
      <c r="I21" s="13" t="str">
        <f aca="false">IF(H21&lt;&gt;"Permitted","",IF(OR(AND(C21&lt;&gt;"",C21&lt;=B5*B10),AND(D21&lt;&gt;"",B6*B10&gt;=D21)),"watch",""))</f>
        <v/>
      </c>
      <c r="J21" s="16" t="s">
        <v>70</v>
      </c>
      <c r="K21" s="10" t="s">
        <v>71</v>
      </c>
    </row>
    <row r="22" customFormat="false" ht="15" hidden="false" customHeight="true" outlineLevel="0" collapsed="false">
      <c r="A22" s="13" t="s">
        <v>72</v>
      </c>
      <c r="B22" s="10" t="s">
        <v>73</v>
      </c>
      <c r="C22" s="17" t="n">
        <v>20</v>
      </c>
      <c r="D22" s="10"/>
      <c r="E22" s="10" t="str">
        <f aca="false">IF(B7=0,"not planned",IF(B5&gt;C22,"Agreement needed","Permitted"))</f>
        <v>Agreement needed</v>
      </c>
      <c r="F22" s="10" t="str">
        <f aca="false">IF(B8=0,"not planned",IF(B5&gt;C22,"Agreement needed","Permitted"))</f>
        <v>Agreement needed</v>
      </c>
      <c r="G22" s="10" t="str">
        <f aca="false">IF(B9=0,"not planned",IF(B5&gt;C22,"Agreement needed","Permitted"))</f>
        <v>Agreement needed</v>
      </c>
      <c r="H22" s="13" t="str">
        <f aca="false">IF(COUNTIF(E22:G22,"Excluded")&gt;0,"Excluded",IF(COUNTIF(E22:G22,"Agreement needed")+COUNTIF(E22:G22,"Review needed")&gt;0,"Agreement needed","Permitted"))</f>
        <v>Agreement needed</v>
      </c>
      <c r="I22" s="13" t="str">
        <f aca="false">IF(H22&lt;&gt;"Permitted","",IF(OR(AND(C22&lt;&gt;"",C22&lt;=B5*B10),AND(D22&lt;&gt;"",B6*B10&gt;=D22)),"watch",""))</f>
        <v/>
      </c>
      <c r="J22" s="16" t="s">
        <v>74</v>
      </c>
      <c r="K22" s="10" t="s">
        <v>75</v>
      </c>
    </row>
    <row r="23" customFormat="false" ht="15" hidden="false" customHeight="true" outlineLevel="0" collapsed="false">
      <c r="A23" s="13" t="s">
        <v>76</v>
      </c>
      <c r="B23" s="10" t="s">
        <v>77</v>
      </c>
      <c r="C23" s="10"/>
      <c r="D23" s="10"/>
      <c r="E23" s="10" t="str">
        <f aca="false">IF(B7=0,"not planned","Excluded")</f>
        <v>Excluded</v>
      </c>
      <c r="F23" s="10" t="str">
        <f aca="false">IF(B8=0,"not planned","Excluded")</f>
        <v>Excluded</v>
      </c>
      <c r="G23" s="10" t="str">
        <f aca="false">IF(B9=0,"not planned","Excluded")</f>
        <v>Excluded</v>
      </c>
      <c r="H23" s="13" t="str">
        <f aca="false">IF(COUNTIF(E23:G23,"Excluded")&gt;0,"Excluded",IF(COUNTIF(E23:G23,"Agreement needed")+COUNTIF(E23:G23,"Review needed")&gt;0,"Agreement needed","Permitted"))</f>
        <v>Excluded</v>
      </c>
      <c r="I23" s="13" t="str">
        <f aca="false">IF(H23&lt;&gt;"Permitted","",IF(OR(AND(C23&lt;&gt;"",C23&lt;=B5*B10),AND(D23&lt;&gt;"",B6*B10&gt;=D23)),"watch",""))</f>
        <v/>
      </c>
      <c r="J23" s="16" t="s">
        <v>78</v>
      </c>
      <c r="K23" s="10" t="s">
        <v>79</v>
      </c>
    </row>
    <row r="24" customFormat="false" ht="15" hidden="false" customHeight="true" outlineLevel="0" collapsed="false">
      <c r="A24" s="13" t="s">
        <v>80</v>
      </c>
      <c r="B24" s="10" t="s">
        <v>81</v>
      </c>
      <c r="C24" s="10"/>
      <c r="D24" s="10"/>
      <c r="E24" s="10" t="str">
        <f aca="false">IF(B7=0,"not planned","Permitted")</f>
        <v>Permitted</v>
      </c>
      <c r="F24" s="10" t="str">
        <f aca="false">IF(B8=0,"not planned","Permitted")</f>
        <v>Permitted</v>
      </c>
      <c r="G24" s="10" t="str">
        <f aca="false">IF(B9=0,"not planned","Excluded")</f>
        <v>Excluded</v>
      </c>
      <c r="H24" s="13" t="str">
        <f aca="false">IF(COUNTIF(E24:G24,"Excluded")&gt;0,"Excluded",IF(COUNTIF(E24:G24,"Agreement needed")+COUNTIF(E24:G24,"Review needed")&gt;0,"Agreement needed","Permitted"))</f>
        <v>Excluded</v>
      </c>
      <c r="I24" s="13" t="str">
        <f aca="false">IF(H24&lt;&gt;"Permitted","",IF(OR(AND(C24&lt;&gt;"",C24&lt;=B5*B10),AND(D24&lt;&gt;"",B6*B10&gt;=D24)),"watch",""))</f>
        <v/>
      </c>
      <c r="J24" s="16" t="s">
        <v>82</v>
      </c>
      <c r="K24" s="10" t="s">
        <v>83</v>
      </c>
    </row>
    <row r="26" customFormat="false" ht="15" hidden="false" customHeight="true" outlineLevel="0" collapsed="false">
      <c r="A26" s="9" t="s">
        <v>84</v>
      </c>
      <c r="B26" s="9" t="s">
        <v>85</v>
      </c>
      <c r="C26" s="9" t="s">
        <v>21</v>
      </c>
    </row>
    <row r="27" customFormat="false" ht="15" hidden="false" customHeight="true" outlineLevel="0" collapsed="false">
      <c r="A27" s="13" t="s">
        <v>86</v>
      </c>
      <c r="B27" s="18" t="n">
        <f aca="false">COUNTA(A14:A24)</f>
        <v>11</v>
      </c>
      <c r="C27" s="15" t="s">
        <v>87</v>
      </c>
    </row>
    <row r="28" customFormat="false" ht="15" hidden="false" customHeight="true" outlineLevel="0" collapsed="false">
      <c r="A28" s="13" t="s">
        <v>88</v>
      </c>
      <c r="B28" s="18" t="n">
        <f aca="false">COUNTIF(H14:H24,"&lt;&gt;Permitted")</f>
        <v>5</v>
      </c>
      <c r="C28" s="15" t="s">
        <v>89</v>
      </c>
    </row>
    <row r="29" customFormat="false" ht="15" hidden="false" customHeight="true" outlineLevel="0" collapsed="false">
      <c r="A29" s="13" t="s">
        <v>90</v>
      </c>
      <c r="B29" s="18" t="n">
        <f aca="false">COUNTIF(I14:I24,"watch")</f>
        <v>2</v>
      </c>
      <c r="C29" s="15" t="s">
        <v>91</v>
      </c>
    </row>
    <row r="31" customFormat="false" ht="15" hidden="false" customHeight="false" outlineLevel="0" collapsed="false">
      <c r="A31" s="19" t="s">
        <v>92</v>
      </c>
    </row>
    <row r="32" customFormat="false" ht="15" hidden="false" customHeight="false" outlineLevel="0" collapsed="false">
      <c r="A32" s="19" t="s">
        <v>93</v>
      </c>
    </row>
    <row r="33" customFormat="false" ht="15" hidden="false" customHeight="false" outlineLevel="0" collapsed="false">
      <c r="A33" s="19" t="s">
        <v>94</v>
      </c>
    </row>
    <row r="34" customFormat="false" ht="15" hidden="false" customHeight="false" outlineLevel="0" collapsed="false">
      <c r="A34" s="19"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16"/>
    <col collapsed="false" customWidth="true" hidden="false" outlineLevel="0" max="4" min="4" style="0" width="18"/>
    <col collapsed="false" customWidth="true" hidden="false" outlineLevel="0" max="5" min="5" style="0" width="16"/>
    <col collapsed="false" customWidth="true" hidden="false" outlineLevel="0" max="7" min="6" style="0" width="12"/>
    <col collapsed="false" customWidth="true" hidden="false" outlineLevel="0" max="10" min="8" style="0" width="14"/>
    <col collapsed="false" customWidth="true" hidden="false" outlineLevel="0" max="15" min="11" style="0" width="13"/>
  </cols>
  <sheetData>
    <row r="1" customFormat="false" ht="15.75" hidden="false" customHeight="true" outlineLevel="0" collapsed="false">
      <c r="A1" s="8" t="s">
        <v>96</v>
      </c>
    </row>
    <row r="3" customFormat="false" ht="45" hidden="false" customHeight="true" outlineLevel="0" collapsed="false">
      <c r="A3" s="9" t="s">
        <v>97</v>
      </c>
      <c r="B3" s="9" t="s">
        <v>98</v>
      </c>
      <c r="C3" s="9" t="s">
        <v>99</v>
      </c>
      <c r="D3" s="9" t="s">
        <v>100</v>
      </c>
    </row>
    <row r="4" customFormat="false" ht="15" hidden="false" customHeight="false" outlineLevel="0" collapsed="false">
      <c r="A4" s="10" t="s">
        <v>101</v>
      </c>
      <c r="B4" s="11" t="n">
        <v>1</v>
      </c>
      <c r="C4" s="11" t="n">
        <v>1</v>
      </c>
      <c r="D4" s="11" t="n">
        <v>4</v>
      </c>
    </row>
    <row r="5" customFormat="false" ht="15" hidden="false" customHeight="false" outlineLevel="0" collapsed="false">
      <c r="A5" s="10" t="s">
        <v>102</v>
      </c>
      <c r="B5" s="11" t="n">
        <v>96</v>
      </c>
      <c r="C5" s="11" t="n">
        <v>128</v>
      </c>
      <c r="D5" s="11" t="n">
        <v>96</v>
      </c>
    </row>
    <row r="6" customFormat="false" ht="15" hidden="false" customHeight="false" outlineLevel="0" collapsed="false">
      <c r="A6" s="10" t="s">
        <v>103</v>
      </c>
      <c r="B6" s="17" t="n">
        <v>1792</v>
      </c>
      <c r="C6" s="17" t="n">
        <v>273</v>
      </c>
      <c r="D6" s="17" t="n">
        <v>1597</v>
      </c>
    </row>
    <row r="7" customFormat="false" ht="15" hidden="false" customHeight="false" outlineLevel="0" collapsed="false">
      <c r="A7" s="10" t="s">
        <v>104</v>
      </c>
      <c r="B7" s="20" t="n">
        <v>2</v>
      </c>
      <c r="C7" s="20" t="n">
        <v>2</v>
      </c>
      <c r="D7" s="20" t="n">
        <v>2</v>
      </c>
    </row>
    <row r="8" customFormat="false" ht="15" hidden="false" customHeight="false" outlineLevel="0" collapsed="false">
      <c r="A8" s="10" t="s">
        <v>105</v>
      </c>
      <c r="B8" s="21" t="n">
        <v>1</v>
      </c>
      <c r="C8" s="21" t="n">
        <v>1</v>
      </c>
      <c r="D8" s="21" t="n">
        <v>0.2</v>
      </c>
    </row>
    <row r="9" customFormat="false" ht="15" hidden="false" customHeight="false" outlineLevel="0" collapsed="false">
      <c r="A9" s="10" t="s">
        <v>106</v>
      </c>
      <c r="B9" s="21" t="n">
        <v>1</v>
      </c>
      <c r="C9" s="21" t="n">
        <v>1</v>
      </c>
      <c r="D9" s="21" t="n">
        <v>0.45</v>
      </c>
    </row>
    <row r="10" customFormat="false" ht="15" hidden="false" customHeight="false" outlineLevel="0" collapsed="false">
      <c r="A10" s="13" t="s">
        <v>107</v>
      </c>
      <c r="B10" s="22" t="n">
        <f aca="false">B4*B5</f>
        <v>96</v>
      </c>
      <c r="C10" s="22" t="n">
        <f aca="false">C4*C5</f>
        <v>128</v>
      </c>
      <c r="D10" s="22" t="n">
        <f aca="false">D4*D5</f>
        <v>384</v>
      </c>
    </row>
    <row r="11" customFormat="false" ht="15" hidden="false" customHeight="false" outlineLevel="0" collapsed="false">
      <c r="A11" s="13" t="s">
        <v>108</v>
      </c>
      <c r="B11" s="22" t="n">
        <f aca="false">B4*B6</f>
        <v>1792</v>
      </c>
      <c r="C11" s="22" t="n">
        <f aca="false">C4*C6</f>
        <v>273</v>
      </c>
      <c r="D11" s="22" t="n">
        <f aca="false">D4*D6</f>
        <v>6388</v>
      </c>
    </row>
    <row r="12" customFormat="false" ht="15" hidden="false" customHeight="false" outlineLevel="0" collapsed="false">
      <c r="A12" s="13" t="s">
        <v>109</v>
      </c>
      <c r="B12" s="23" t="n">
        <f aca="false">B4*B7</f>
        <v>2</v>
      </c>
      <c r="C12" s="23" t="n">
        <f aca="false">C4*C7</f>
        <v>2</v>
      </c>
      <c r="D12" s="23" t="n">
        <f aca="false">D4*D7</f>
        <v>8</v>
      </c>
    </row>
    <row r="14" customFormat="false" ht="57.75" hidden="false" customHeight="true" outlineLevel="0" collapsed="false">
      <c r="A14" s="9" t="s">
        <v>110</v>
      </c>
      <c r="B14" s="9" t="s">
        <v>111</v>
      </c>
      <c r="C14" s="9" t="s">
        <v>112</v>
      </c>
      <c r="D14" s="9" t="s">
        <v>113</v>
      </c>
      <c r="E14" s="9" t="s">
        <v>114</v>
      </c>
      <c r="F14" s="9" t="s">
        <v>115</v>
      </c>
      <c r="G14" s="9" t="s">
        <v>116</v>
      </c>
      <c r="H14" s="9" t="s">
        <v>117</v>
      </c>
      <c r="I14" s="9" t="s">
        <v>118</v>
      </c>
      <c r="J14" s="9" t="s">
        <v>119</v>
      </c>
      <c r="K14" s="9" t="s">
        <v>120</v>
      </c>
      <c r="L14" s="9" t="s">
        <v>121</v>
      </c>
      <c r="M14" s="9" t="s">
        <v>122</v>
      </c>
      <c r="N14" s="9" t="s">
        <v>123</v>
      </c>
      <c r="O14" s="9" t="s">
        <v>124</v>
      </c>
    </row>
    <row r="15" customFormat="false" ht="15" hidden="false" customHeight="false" outlineLevel="0" collapsed="false">
      <c r="A15" s="24" t="s">
        <v>125</v>
      </c>
      <c r="B15" s="12" t="n">
        <v>284</v>
      </c>
      <c r="C15" s="12" t="n">
        <v>13</v>
      </c>
      <c r="D15" s="21" t="n">
        <v>4.9</v>
      </c>
      <c r="E15" s="11"/>
      <c r="F15" s="25" t="n">
        <f aca="false">IF(E15&lt;&gt;"",E15,B15*D15/8)</f>
        <v>173.95</v>
      </c>
      <c r="G15" s="26" t="n">
        <f aca="false">C15*D15/8</f>
        <v>7.9625</v>
      </c>
      <c r="H15" s="25" t="n">
        <f aca="false">B$10-$F15-B$12</f>
        <v>-79.95</v>
      </c>
      <c r="I15" s="25" t="n">
        <f aca="false">C$10-$F15-C$12</f>
        <v>-47.95</v>
      </c>
      <c r="J15" s="25" t="n">
        <f aca="false">D$10-$F15-D$12</f>
        <v>202.05</v>
      </c>
      <c r="K15" s="22" t="str">
        <f aca="false">IF(H15&lt;0,"does not fit",B$11/$G15)</f>
        <v>does not fit</v>
      </c>
      <c r="L15" s="22" t="str">
        <f aca="false">IF(I15&lt;0,"does not fit",C$11/$G15)</f>
        <v>does not fit</v>
      </c>
      <c r="M15" s="22" t="n">
        <f aca="false">IF(J15&lt;0,"does not fit",D$11/$G15)</f>
        <v>802.260596546311</v>
      </c>
      <c r="N15" s="27" t="n">
        <f aca="false">IF(J15&lt;0,"does not fit",M15*$D$8)</f>
        <v>160.452119309262</v>
      </c>
      <c r="O15" s="27" t="n">
        <f aca="false">IF(J15&lt;0,"does not fit",M15*$D$9)</f>
        <v>361.01726844584</v>
      </c>
    </row>
    <row r="16" customFormat="false" ht="15" hidden="false" customHeight="false" outlineLevel="0" collapsed="false">
      <c r="A16" s="24" t="s">
        <v>126</v>
      </c>
      <c r="B16" s="12" t="n">
        <v>284</v>
      </c>
      <c r="C16" s="12" t="n">
        <v>13</v>
      </c>
      <c r="D16" s="21" t="n">
        <v>4.9</v>
      </c>
      <c r="E16" s="11" t="n">
        <v>160</v>
      </c>
      <c r="F16" s="25" t="n">
        <f aca="false">IF(E16&lt;&gt;"",E16,B16*D16/8)</f>
        <v>160</v>
      </c>
      <c r="G16" s="26" t="n">
        <f aca="false">C16*D16/8</f>
        <v>7.9625</v>
      </c>
      <c r="H16" s="25" t="n">
        <f aca="false">B$10-$F16-B$12</f>
        <v>-66</v>
      </c>
      <c r="I16" s="25" t="n">
        <f aca="false">C$10-$F16-C$12</f>
        <v>-34</v>
      </c>
      <c r="J16" s="25" t="n">
        <f aca="false">D$10-$F16-D$12</f>
        <v>216</v>
      </c>
      <c r="K16" s="22" t="str">
        <f aca="false">IF(H16&lt;0,"does not fit",B$11/$G16)</f>
        <v>does not fit</v>
      </c>
      <c r="L16" s="22" t="str">
        <f aca="false">IF(I16&lt;0,"does not fit",C$11/$G16)</f>
        <v>does not fit</v>
      </c>
      <c r="M16" s="22" t="n">
        <f aca="false">IF(J16&lt;0,"does not fit",D$11/$G16)</f>
        <v>802.260596546311</v>
      </c>
      <c r="N16" s="27" t="n">
        <f aca="false">IF(J16&lt;0,"does not fit",M16*$D$8)</f>
        <v>160.452119309262</v>
      </c>
      <c r="O16" s="27" t="n">
        <f aca="false">IF(J16&lt;0,"does not fit",M16*$D$9)</f>
        <v>361.01726844584</v>
      </c>
    </row>
    <row r="17" customFormat="false" ht="15" hidden="false" customHeight="false" outlineLevel="0" collapsed="false">
      <c r="A17" s="24" t="s">
        <v>127</v>
      </c>
      <c r="B17" s="12" t="n">
        <v>397</v>
      </c>
      <c r="C17" s="12" t="n">
        <v>17</v>
      </c>
      <c r="D17" s="21" t="n">
        <v>4.9</v>
      </c>
      <c r="E17" s="11"/>
      <c r="F17" s="25" t="n">
        <f aca="false">IF(E17&lt;&gt;"",E17,B17*D17/8)</f>
        <v>243.1625</v>
      </c>
      <c r="G17" s="26" t="n">
        <f aca="false">C17*D17/8</f>
        <v>10.4125</v>
      </c>
      <c r="H17" s="25" t="n">
        <f aca="false">B$10-$F17-B$12</f>
        <v>-149.1625</v>
      </c>
      <c r="I17" s="25" t="n">
        <f aca="false">C$10-$F17-C$12</f>
        <v>-117.1625</v>
      </c>
      <c r="J17" s="25" t="n">
        <f aca="false">D$10-$F17-D$12</f>
        <v>132.8375</v>
      </c>
      <c r="K17" s="22" t="str">
        <f aca="false">IF(H17&lt;0,"does not fit",B$11/$G17)</f>
        <v>does not fit</v>
      </c>
      <c r="L17" s="22" t="str">
        <f aca="false">IF(I17&lt;0,"does not fit",C$11/$G17)</f>
        <v>does not fit</v>
      </c>
      <c r="M17" s="22" t="n">
        <f aca="false">IF(J17&lt;0,"does not fit",D$11/$G17)</f>
        <v>613.493397358944</v>
      </c>
      <c r="N17" s="27" t="n">
        <f aca="false">IF(J17&lt;0,"does not fit",M17*$D$8)</f>
        <v>122.698679471789</v>
      </c>
      <c r="O17" s="27" t="n">
        <f aca="false">IF(J17&lt;0,"does not fit",M17*$D$9)</f>
        <v>276.072028811525</v>
      </c>
    </row>
    <row r="18" customFormat="false" ht="15" hidden="false" customHeight="false" outlineLevel="0" collapsed="false">
      <c r="A18" s="24" t="s">
        <v>128</v>
      </c>
      <c r="B18" s="12" t="n">
        <v>675</v>
      </c>
      <c r="C18" s="12" t="n">
        <v>41</v>
      </c>
      <c r="D18" s="21" t="n">
        <v>4.9</v>
      </c>
      <c r="E18" s="11"/>
      <c r="F18" s="25" t="n">
        <f aca="false">IF(E18&lt;&gt;"",E18,B18*D18/8)</f>
        <v>413.4375</v>
      </c>
      <c r="G18" s="26" t="n">
        <f aca="false">C18*D18/8</f>
        <v>25.1125</v>
      </c>
      <c r="H18" s="25" t="n">
        <f aca="false">B$10-$F18-B$12</f>
        <v>-319.4375</v>
      </c>
      <c r="I18" s="25" t="n">
        <f aca="false">C$10-$F18-C$12</f>
        <v>-287.4375</v>
      </c>
      <c r="J18" s="25" t="n">
        <f aca="false">D$10-$F18-D$12</f>
        <v>-37.4375000000001</v>
      </c>
      <c r="K18" s="22" t="str">
        <f aca="false">IF(H18&lt;0,"does not fit",B$11/$G18)</f>
        <v>does not fit</v>
      </c>
      <c r="L18" s="22" t="str">
        <f aca="false">IF(I18&lt;0,"does not fit",C$11/$G18)</f>
        <v>does not fit</v>
      </c>
      <c r="M18" s="22" t="str">
        <f aca="false">IF(J18&lt;0,"does not fit",D$11/$G18)</f>
        <v>does not fit</v>
      </c>
      <c r="N18" s="27" t="str">
        <f aca="false">IF(J18&lt;0,"does not fit",M18*$D$8)</f>
        <v>does not fit</v>
      </c>
      <c r="O18" s="27" t="str">
        <f aca="false">IF(J18&lt;0,"does not fit",M18*$D$9)</f>
        <v>does not fit</v>
      </c>
    </row>
    <row r="19" customFormat="false" ht="15" hidden="false" customHeight="false" outlineLevel="0" collapsed="false">
      <c r="A19" s="24" t="s">
        <v>129</v>
      </c>
      <c r="B19" s="12" t="n">
        <v>405</v>
      </c>
      <c r="C19" s="12" t="n">
        <v>405</v>
      </c>
      <c r="D19" s="21" t="n">
        <v>4.9</v>
      </c>
      <c r="E19" s="11"/>
      <c r="F19" s="25" t="n">
        <f aca="false">IF(E19&lt;&gt;"",E19,B19*D19/8)</f>
        <v>248.0625</v>
      </c>
      <c r="G19" s="26" t="n">
        <f aca="false">C19*D19/8</f>
        <v>248.0625</v>
      </c>
      <c r="H19" s="25" t="n">
        <f aca="false">B$10-$F19-B$12</f>
        <v>-154.0625</v>
      </c>
      <c r="I19" s="25" t="n">
        <f aca="false">C$10-$F19-C$12</f>
        <v>-122.0625</v>
      </c>
      <c r="J19" s="25" t="n">
        <f aca="false">D$10-$F19-D$12</f>
        <v>127.9375</v>
      </c>
      <c r="K19" s="22" t="str">
        <f aca="false">IF(H19&lt;0,"does not fit",B$11/$G19)</f>
        <v>does not fit</v>
      </c>
      <c r="L19" s="22" t="str">
        <f aca="false">IF(I19&lt;0,"does not fit",C$11/$G19)</f>
        <v>does not fit</v>
      </c>
      <c r="M19" s="22" t="n">
        <f aca="false">IF(J19&lt;0,"does not fit",D$11/$G19)</f>
        <v>25.7515747039557</v>
      </c>
      <c r="N19" s="27" t="n">
        <f aca="false">IF(J19&lt;0,"does not fit",M19*$D$8)</f>
        <v>5.15031494079113</v>
      </c>
      <c r="O19" s="27" t="n">
        <f aca="false">IF(J19&lt;0,"does not fit",M19*$D$9)</f>
        <v>11.58820861678</v>
      </c>
    </row>
    <row r="20" customFormat="false" ht="15" hidden="false" customHeight="false" outlineLevel="0" collapsed="false">
      <c r="A20" s="24" t="s">
        <v>130</v>
      </c>
      <c r="B20" s="12" t="n">
        <v>70</v>
      </c>
      <c r="C20" s="12" t="n">
        <v>70</v>
      </c>
      <c r="D20" s="21" t="n">
        <v>4.9</v>
      </c>
      <c r="E20" s="11"/>
      <c r="F20" s="25" t="n">
        <f aca="false">IF(E20&lt;&gt;"",E20,B20*D20/8)</f>
        <v>42.875</v>
      </c>
      <c r="G20" s="26" t="n">
        <f aca="false">C20*D20/8</f>
        <v>42.875</v>
      </c>
      <c r="H20" s="25" t="n">
        <f aca="false">B$10-$F20-B$12</f>
        <v>51.125</v>
      </c>
      <c r="I20" s="25" t="n">
        <f aca="false">C$10-$F20-C$12</f>
        <v>83.125</v>
      </c>
      <c r="J20" s="25" t="n">
        <f aca="false">D$10-$F20-D$12</f>
        <v>333.125</v>
      </c>
      <c r="K20" s="22" t="n">
        <f aca="false">IF(H20&lt;0,"does not fit",B$11/$G20)</f>
        <v>41.7959183673469</v>
      </c>
      <c r="L20" s="22" t="n">
        <f aca="false">IF(I20&lt;0,"does not fit",C$11/$G20)</f>
        <v>6.36734693877551</v>
      </c>
      <c r="M20" s="22" t="n">
        <f aca="false">IF(J20&lt;0,"does not fit",D$11/$G20)</f>
        <v>148.991253644315</v>
      </c>
      <c r="N20" s="27" t="n">
        <f aca="false">IF(J20&lt;0,"does not fit",M20*$D$8)</f>
        <v>29.798250728863</v>
      </c>
      <c r="O20" s="27" t="n">
        <f aca="false">IF(J20&lt;0,"does not fit",M20*$D$9)</f>
        <v>67.0460641399417</v>
      </c>
    </row>
    <row r="21" customFormat="false" ht="15" hidden="false" customHeight="false" outlineLevel="0" collapsed="false">
      <c r="A21" s="24" t="s">
        <v>131</v>
      </c>
      <c r="B21" s="12" t="n">
        <v>117</v>
      </c>
      <c r="C21" s="12" t="n">
        <v>5.1</v>
      </c>
      <c r="D21" s="10" t="s">
        <v>132</v>
      </c>
      <c r="E21" s="10" t="s">
        <v>133</v>
      </c>
      <c r="F21" s="25" t="n">
        <f aca="false">'gpt-oss'!B30</f>
        <v>65.1875</v>
      </c>
      <c r="G21" s="26" t="n">
        <f aca="false">'gpt-oss'!B42</f>
        <v>4.905859375</v>
      </c>
      <c r="H21" s="25" t="n">
        <f aca="false">B$10-$F21-B$12</f>
        <v>28.8125</v>
      </c>
      <c r="I21" s="25" t="n">
        <f aca="false">C$10-$F21-C$12</f>
        <v>60.8125</v>
      </c>
      <c r="J21" s="25" t="n">
        <f aca="false">D$10-$F21-D$12</f>
        <v>310.8125</v>
      </c>
      <c r="K21" s="22" t="n">
        <f aca="false">IF(H21&lt;0,"does not fit",B$11/$G21)</f>
        <v>365.277490246039</v>
      </c>
      <c r="L21" s="22" t="n">
        <f aca="false">IF(I21&lt;0,"does not fit",C$11/$G21)</f>
        <v>55.64774265467</v>
      </c>
      <c r="M21" s="22" t="n">
        <f aca="false">IF(J21&lt;0,"does not fit",D$11/$G21)</f>
        <v>1302.11641054224</v>
      </c>
      <c r="N21" s="27" t="n">
        <f aca="false">IF(J21&lt;0,"does not fit",M21*$D$8)</f>
        <v>260.423282108448</v>
      </c>
      <c r="O21" s="27" t="n">
        <f aca="false">IF(J21&lt;0,"does not fit",M21*$D$9)</f>
        <v>585.952384744008</v>
      </c>
    </row>
    <row r="22" customFormat="false" ht="15" hidden="false" customHeight="false" outlineLevel="0" collapsed="false">
      <c r="A22" s="24" t="s">
        <v>134</v>
      </c>
      <c r="B22" s="12" t="n">
        <v>122</v>
      </c>
      <c r="C22" s="12" t="n">
        <v>10</v>
      </c>
      <c r="D22" s="21" t="n">
        <v>4.9</v>
      </c>
      <c r="E22" s="11"/>
      <c r="F22" s="25" t="n">
        <f aca="false">IF(E22&lt;&gt;"",E22,B22*D22/8)</f>
        <v>74.725</v>
      </c>
      <c r="G22" s="26" t="n">
        <f aca="false">C22*D22/8</f>
        <v>6.125</v>
      </c>
      <c r="H22" s="25" t="n">
        <f aca="false">B$10-$F22-B$12</f>
        <v>19.275</v>
      </c>
      <c r="I22" s="25" t="n">
        <f aca="false">C$10-$F22-C$12</f>
        <v>51.275</v>
      </c>
      <c r="J22" s="25" t="n">
        <f aca="false">D$10-$F22-D$12</f>
        <v>301.275</v>
      </c>
      <c r="K22" s="22" t="n">
        <f aca="false">IF(H22&lt;0,"does not fit",B$11/$G22)</f>
        <v>292.571428571429</v>
      </c>
      <c r="L22" s="22" t="n">
        <f aca="false">IF(I22&lt;0,"does not fit",C$11/$G22)</f>
        <v>44.5714285714286</v>
      </c>
      <c r="M22" s="22" t="n">
        <f aca="false">IF(J22&lt;0,"does not fit",D$11/$G22)</f>
        <v>1042.9387755102</v>
      </c>
      <c r="N22" s="27" t="n">
        <f aca="false">IF(J22&lt;0,"does not fit",M22*$D$8)</f>
        <v>208.587755102041</v>
      </c>
      <c r="O22" s="27" t="n">
        <f aca="false">IF(J22&lt;0,"does not fit",M22*$D$9)</f>
        <v>469.322448979592</v>
      </c>
    </row>
    <row r="23" customFormat="false" ht="15" hidden="false" customHeight="false" outlineLevel="0" collapsed="false">
      <c r="A23" s="24" t="s">
        <v>135</v>
      </c>
      <c r="B23" s="12" t="n">
        <v>35</v>
      </c>
      <c r="C23" s="12" t="n">
        <v>3</v>
      </c>
      <c r="D23" s="21" t="n">
        <v>4.9</v>
      </c>
      <c r="E23" s="11"/>
      <c r="F23" s="25" t="n">
        <f aca="false">IF(E23&lt;&gt;"",E23,B23*D23/8)</f>
        <v>21.4375</v>
      </c>
      <c r="G23" s="26" t="n">
        <f aca="false">C23*D23/8</f>
        <v>1.8375</v>
      </c>
      <c r="H23" s="25" t="n">
        <f aca="false">B$10-$F23-B$12</f>
        <v>72.5625</v>
      </c>
      <c r="I23" s="25" t="n">
        <f aca="false">C$10-$F23-C$12</f>
        <v>104.5625</v>
      </c>
      <c r="J23" s="25" t="n">
        <f aca="false">D$10-$F23-D$12</f>
        <v>354.5625</v>
      </c>
      <c r="K23" s="22" t="n">
        <f aca="false">IF(H23&lt;0,"does not fit",B$11/$G23)</f>
        <v>975.238095238095</v>
      </c>
      <c r="L23" s="22" t="n">
        <f aca="false">IF(I23&lt;0,"does not fit",C$11/$G23)</f>
        <v>148.571428571429</v>
      </c>
      <c r="M23" s="22" t="n">
        <f aca="false">IF(J23&lt;0,"does not fit",D$11/$G23)</f>
        <v>3476.46258503401</v>
      </c>
      <c r="N23" s="27" t="n">
        <f aca="false">IF(J23&lt;0,"does not fit",M23*$D$8)</f>
        <v>695.292517006803</v>
      </c>
      <c r="O23" s="27" t="n">
        <f aca="false">IF(J23&lt;0,"does not fit",M23*$D$9)</f>
        <v>1564.40816326531</v>
      </c>
    </row>
    <row r="25" customFormat="false" ht="15" hidden="false" customHeight="true" outlineLevel="0" collapsed="false">
      <c r="A25" s="9" t="s">
        <v>136</v>
      </c>
      <c r="B25" s="9" t="s">
        <v>85</v>
      </c>
      <c r="C25" s="9" t="s">
        <v>21</v>
      </c>
    </row>
    <row r="26" customFormat="false" ht="15" hidden="false" customHeight="true" outlineLevel="0" collapsed="false">
      <c r="A26" s="13" t="s">
        <v>137</v>
      </c>
      <c r="B26" s="22" t="n">
        <f aca="false">D10</f>
        <v>384</v>
      </c>
      <c r="C26" s="15" t="s">
        <v>138</v>
      </c>
    </row>
    <row r="27" customFormat="false" ht="15" hidden="false" customHeight="true" outlineLevel="0" collapsed="false">
      <c r="A27" s="13" t="s">
        <v>139</v>
      </c>
      <c r="B27" s="22" t="n">
        <f aca="false">D11</f>
        <v>6388</v>
      </c>
      <c r="C27" s="15" t="s">
        <v>140</v>
      </c>
    </row>
    <row r="28" customFormat="false" ht="15" hidden="false" customHeight="true" outlineLevel="0" collapsed="false">
      <c r="A28" s="13" t="s">
        <v>141</v>
      </c>
      <c r="B28" s="18" t="n">
        <f aca="false">F15</f>
        <v>173.95</v>
      </c>
      <c r="C28" s="15" t="s">
        <v>142</v>
      </c>
    </row>
    <row r="29" customFormat="false" ht="15" hidden="false" customHeight="true" outlineLevel="0" collapsed="false">
      <c r="A29" s="13" t="s">
        <v>143</v>
      </c>
      <c r="B29" s="18" t="n">
        <f aca="false">F17</f>
        <v>243.1625</v>
      </c>
      <c r="C29" s="15" t="s">
        <v>144</v>
      </c>
    </row>
    <row r="30" customFormat="false" ht="15" hidden="false" customHeight="true" outlineLevel="0" collapsed="false">
      <c r="A30" s="13" t="s">
        <v>145</v>
      </c>
      <c r="B30" s="18" t="n">
        <f aca="false">F18</f>
        <v>413.4375</v>
      </c>
      <c r="C30" s="15" t="s">
        <v>146</v>
      </c>
    </row>
    <row r="31" customFormat="false" ht="15" hidden="false" customHeight="true" outlineLevel="0" collapsed="false">
      <c r="A31" s="13" t="s">
        <v>147</v>
      </c>
      <c r="B31" s="13" t="str">
        <f aca="false">IF(J18&lt;0,"does not fit","fits")</f>
        <v>does not fit</v>
      </c>
      <c r="C31" s="15" t="s">
        <v>148</v>
      </c>
    </row>
    <row r="32" customFormat="false" ht="15" hidden="false" customHeight="true" outlineLevel="0" collapsed="false">
      <c r="A32" s="13" t="s">
        <v>149</v>
      </c>
      <c r="B32" s="18" t="n">
        <f aca="false">J15</f>
        <v>202.05</v>
      </c>
      <c r="C32" s="15" t="s">
        <v>150</v>
      </c>
    </row>
    <row r="33" customFormat="false" ht="15" hidden="false" customHeight="true" outlineLevel="0" collapsed="false">
      <c r="A33" s="13" t="s">
        <v>151</v>
      </c>
      <c r="B33" s="18" t="n">
        <f aca="false">J16</f>
        <v>216</v>
      </c>
      <c r="C33" s="15" t="s">
        <v>152</v>
      </c>
    </row>
    <row r="34" customFormat="false" ht="15" hidden="false" customHeight="true" outlineLevel="0" collapsed="false">
      <c r="A34" s="13" t="s">
        <v>153</v>
      </c>
      <c r="B34" s="18" t="n">
        <f aca="false">J17</f>
        <v>132.8375</v>
      </c>
      <c r="C34" s="15" t="s">
        <v>154</v>
      </c>
    </row>
    <row r="35" customFormat="false" ht="15" hidden="false" customHeight="true" outlineLevel="0" collapsed="false">
      <c r="A35" s="13" t="s">
        <v>155</v>
      </c>
      <c r="B35" s="23" t="n">
        <f aca="false">G15</f>
        <v>7.9625</v>
      </c>
      <c r="C35" s="15" t="s">
        <v>156</v>
      </c>
    </row>
    <row r="36" customFormat="false" ht="15" hidden="false" customHeight="true" outlineLevel="0" collapsed="false">
      <c r="A36" s="13" t="s">
        <v>157</v>
      </c>
      <c r="B36" s="22" t="n">
        <f aca="false">M15</f>
        <v>802.260596546311</v>
      </c>
      <c r="C36" s="15" t="s">
        <v>158</v>
      </c>
    </row>
    <row r="37" customFormat="false" ht="15" hidden="false" customHeight="true" outlineLevel="0" collapsed="false">
      <c r="A37" s="13" t="s">
        <v>159</v>
      </c>
      <c r="B37" s="22" t="n">
        <f aca="false">N15</f>
        <v>160.452119309262</v>
      </c>
      <c r="C37" s="15" t="s">
        <v>160</v>
      </c>
    </row>
    <row r="38" customFormat="false" ht="15" hidden="false" customHeight="true" outlineLevel="0" collapsed="false">
      <c r="A38" s="13" t="s">
        <v>161</v>
      </c>
      <c r="B38" s="22" t="n">
        <f aca="false">O15</f>
        <v>361.01726844584</v>
      </c>
      <c r="C38" s="15" t="s">
        <v>162</v>
      </c>
    </row>
    <row r="39" customFormat="false" ht="15" hidden="false" customHeight="true" outlineLevel="0" collapsed="false">
      <c r="A39" s="13" t="s">
        <v>163</v>
      </c>
      <c r="B39" s="23" t="n">
        <f aca="false">G17</f>
        <v>10.4125</v>
      </c>
      <c r="C39" s="15" t="s">
        <v>164</v>
      </c>
    </row>
    <row r="40" customFormat="false" ht="15" hidden="false" customHeight="true" outlineLevel="0" collapsed="false">
      <c r="A40" s="13" t="s">
        <v>165</v>
      </c>
      <c r="B40" s="22" t="n">
        <f aca="false">M17</f>
        <v>613.493397358944</v>
      </c>
      <c r="C40" s="15" t="s">
        <v>166</v>
      </c>
    </row>
    <row r="41" customFormat="false" ht="15" hidden="false" customHeight="true" outlineLevel="0" collapsed="false">
      <c r="A41" s="13" t="s">
        <v>167</v>
      </c>
      <c r="B41" s="18" t="n">
        <f aca="false">F19</f>
        <v>248.0625</v>
      </c>
      <c r="C41" s="15" t="s">
        <v>168</v>
      </c>
    </row>
    <row r="42" customFormat="false" ht="15" hidden="false" customHeight="true" outlineLevel="0" collapsed="false">
      <c r="A42" s="13" t="s">
        <v>169</v>
      </c>
      <c r="B42" s="18" t="n">
        <f aca="false">M19</f>
        <v>25.7515747039557</v>
      </c>
      <c r="C42" s="15" t="s">
        <v>170</v>
      </c>
    </row>
    <row r="43" customFormat="false" ht="15" hidden="false" customHeight="true" outlineLevel="0" collapsed="false">
      <c r="A43" s="13" t="s">
        <v>171</v>
      </c>
      <c r="B43" s="18" t="n">
        <f aca="false">M15/M19</f>
        <v>31.1538461538462</v>
      </c>
      <c r="C43" s="15" t="s">
        <v>172</v>
      </c>
    </row>
    <row r="44" customFormat="false" ht="15" hidden="false" customHeight="true" outlineLevel="0" collapsed="false">
      <c r="A44" s="13" t="s">
        <v>173</v>
      </c>
      <c r="B44" s="18" t="n">
        <f aca="false">F20</f>
        <v>42.875</v>
      </c>
      <c r="C44" s="15" t="s">
        <v>174</v>
      </c>
    </row>
    <row r="45" customFormat="false" ht="15" hidden="false" customHeight="true" outlineLevel="0" collapsed="false">
      <c r="A45" s="13" t="s">
        <v>175</v>
      </c>
      <c r="B45" s="18" t="n">
        <f aca="false">K20</f>
        <v>41.7959183673469</v>
      </c>
      <c r="C45" s="15" t="s">
        <v>176</v>
      </c>
    </row>
    <row r="46" customFormat="false" ht="15" hidden="false" customHeight="true" outlineLevel="0" collapsed="false">
      <c r="A46" s="13" t="s">
        <v>177</v>
      </c>
      <c r="B46" s="18" t="n">
        <f aca="false">L20</f>
        <v>6.36734693877551</v>
      </c>
      <c r="C46" s="15" t="s">
        <v>178</v>
      </c>
    </row>
    <row r="48" customFormat="false" ht="15" hidden="false" customHeight="false" outlineLevel="0" collapsed="false">
      <c r="A48" s="19" t="s">
        <v>179</v>
      </c>
    </row>
    <row r="49" customFormat="false" ht="15" hidden="false" customHeight="false" outlineLevel="0" collapsed="false">
      <c r="A49" s="19" t="s">
        <v>180</v>
      </c>
    </row>
    <row r="50" customFormat="false" ht="15" hidden="false" customHeight="false" outlineLevel="0" collapsed="false">
      <c r="A50" s="19" t="s">
        <v>181</v>
      </c>
    </row>
    <row r="51" customFormat="false" ht="15" hidden="false" customHeight="false" outlineLevel="0" collapsed="false">
      <c r="A51" s="19" t="s">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6"/>
    <col collapsed="false" customWidth="true" hidden="false" outlineLevel="0" max="3" min="3" style="0" width="18"/>
  </cols>
  <sheetData>
    <row r="1" customFormat="false" ht="15.75" hidden="false" customHeight="true" outlineLevel="0" collapsed="false">
      <c r="A1" s="8" t="s">
        <v>183</v>
      </c>
    </row>
    <row r="3" customFormat="false" ht="15" hidden="false" customHeight="true" outlineLevel="0" collapsed="false">
      <c r="A3" s="9" t="s">
        <v>184</v>
      </c>
      <c r="B3" s="9" t="s">
        <v>20</v>
      </c>
      <c r="C3" s="9"/>
    </row>
    <row r="4" customFormat="false" ht="15" hidden="false" customHeight="true" outlineLevel="0" collapsed="false">
      <c r="A4" s="10" t="s">
        <v>185</v>
      </c>
      <c r="B4" s="20" t="n">
        <v>114.8</v>
      </c>
    </row>
    <row r="5" customFormat="false" ht="15" hidden="false" customHeight="true" outlineLevel="0" collapsed="false">
      <c r="A5" s="10" t="s">
        <v>186</v>
      </c>
      <c r="B5" s="21" t="n">
        <v>4.25</v>
      </c>
    </row>
    <row r="6" customFormat="false" ht="15" hidden="false" customHeight="true" outlineLevel="0" collapsed="false">
      <c r="A6" s="10" t="s">
        <v>187</v>
      </c>
      <c r="B6" s="20" t="n">
        <v>2.1</v>
      </c>
    </row>
    <row r="7" customFormat="false" ht="15" hidden="false" customHeight="true" outlineLevel="0" collapsed="false">
      <c r="A7" s="10" t="s">
        <v>188</v>
      </c>
      <c r="B7" s="11" t="n">
        <v>2</v>
      </c>
    </row>
    <row r="8" customFormat="false" ht="15" hidden="false" customHeight="true" outlineLevel="0" collapsed="false">
      <c r="A8" s="10" t="s">
        <v>189</v>
      </c>
      <c r="B8" s="11" t="n">
        <v>128</v>
      </c>
    </row>
    <row r="9" customFormat="false" ht="15" hidden="false" customHeight="true" outlineLevel="0" collapsed="false">
      <c r="A9" s="10" t="s">
        <v>190</v>
      </c>
      <c r="B9" s="11" t="n">
        <v>4</v>
      </c>
    </row>
    <row r="10" customFormat="false" ht="15" hidden="false" customHeight="true" outlineLevel="0" collapsed="false">
      <c r="A10" s="10" t="s">
        <v>191</v>
      </c>
      <c r="B10" s="20" t="n">
        <v>1.5</v>
      </c>
    </row>
    <row r="11" customFormat="false" ht="15" hidden="false" customHeight="true" outlineLevel="0" collapsed="false">
      <c r="A11" s="10" t="s">
        <v>192</v>
      </c>
      <c r="B11" s="11" t="n">
        <v>2</v>
      </c>
    </row>
    <row r="12" customFormat="false" ht="15" hidden="false" customHeight="true" outlineLevel="0" collapsed="false">
      <c r="A12" s="10" t="s">
        <v>193</v>
      </c>
      <c r="B12" s="11" t="n">
        <v>36</v>
      </c>
    </row>
    <row r="13" customFormat="false" ht="15" hidden="false" customHeight="true" outlineLevel="0" collapsed="false">
      <c r="A13" s="10" t="s">
        <v>194</v>
      </c>
      <c r="B13" s="11" t="n">
        <v>18</v>
      </c>
    </row>
    <row r="14" customFormat="false" ht="15" hidden="false" customHeight="true" outlineLevel="0" collapsed="false">
      <c r="A14" s="10" t="s">
        <v>195</v>
      </c>
      <c r="B14" s="11" t="n">
        <v>8</v>
      </c>
    </row>
    <row r="15" customFormat="false" ht="15" hidden="false" customHeight="true" outlineLevel="0" collapsed="false">
      <c r="A15" s="10" t="s">
        <v>196</v>
      </c>
      <c r="B15" s="11" t="n">
        <v>64</v>
      </c>
    </row>
    <row r="16" customFormat="false" ht="15" hidden="false" customHeight="true" outlineLevel="0" collapsed="false">
      <c r="A16" s="10" t="s">
        <v>197</v>
      </c>
      <c r="B16" s="11" t="n">
        <v>2</v>
      </c>
    </row>
    <row r="17" customFormat="false" ht="15" hidden="false" customHeight="true" outlineLevel="0" collapsed="false">
      <c r="A17" s="10" t="s">
        <v>198</v>
      </c>
      <c r="B17" s="17" t="n">
        <v>131072</v>
      </c>
    </row>
    <row r="18" customFormat="false" ht="15" hidden="false" customHeight="true" outlineLevel="0" collapsed="false">
      <c r="A18" s="10" t="s">
        <v>199</v>
      </c>
      <c r="B18" s="17" t="n">
        <v>32768</v>
      </c>
    </row>
    <row r="19" customFormat="false" ht="15" hidden="false" customHeight="true" outlineLevel="0" collapsed="false">
      <c r="A19" s="10" t="s">
        <v>200</v>
      </c>
      <c r="B19" s="11" t="n">
        <v>96</v>
      </c>
    </row>
    <row r="20" customFormat="false" ht="15" hidden="false" customHeight="true" outlineLevel="0" collapsed="false">
      <c r="A20" s="10" t="s">
        <v>201</v>
      </c>
      <c r="B20" s="11" t="n">
        <v>128</v>
      </c>
    </row>
    <row r="21" customFormat="false" ht="15" hidden="false" customHeight="true" outlineLevel="0" collapsed="false">
      <c r="A21" s="10" t="s">
        <v>109</v>
      </c>
      <c r="B21" s="20" t="n">
        <v>2</v>
      </c>
    </row>
    <row r="22" customFormat="false" ht="15" hidden="false" customHeight="true" outlineLevel="0" collapsed="false">
      <c r="A22" s="10" t="s">
        <v>202</v>
      </c>
      <c r="B22" s="17" t="n">
        <v>1792</v>
      </c>
    </row>
    <row r="23" customFormat="false" ht="15" hidden="false" customHeight="true" outlineLevel="0" collapsed="false">
      <c r="A23" s="10" t="s">
        <v>203</v>
      </c>
      <c r="B23" s="17" t="n">
        <v>273</v>
      </c>
    </row>
    <row r="24" customFormat="false" ht="15" hidden="false" customHeight="true" outlineLevel="0" collapsed="false">
      <c r="A24" s="10" t="s">
        <v>204</v>
      </c>
      <c r="B24" s="11" t="n">
        <v>117</v>
      </c>
    </row>
    <row r="25" customFormat="false" ht="15" hidden="false" customHeight="true" outlineLevel="0" collapsed="false">
      <c r="A25" s="10" t="s">
        <v>205</v>
      </c>
      <c r="B25" s="11" t="n">
        <v>70</v>
      </c>
    </row>
    <row r="27" customFormat="false" ht="15" hidden="false" customHeight="true" outlineLevel="0" collapsed="false">
      <c r="A27" s="9" t="s">
        <v>206</v>
      </c>
      <c r="B27" s="9" t="s">
        <v>85</v>
      </c>
      <c r="C27" s="9" t="s">
        <v>21</v>
      </c>
    </row>
    <row r="28" customFormat="false" ht="15" hidden="false" customHeight="true" outlineLevel="0" collapsed="false">
      <c r="A28" s="13" t="s">
        <v>207</v>
      </c>
      <c r="B28" s="23" t="n">
        <f aca="false">B4*B5/8</f>
        <v>60.9875</v>
      </c>
      <c r="C28" s="15" t="s">
        <v>208</v>
      </c>
    </row>
    <row r="29" customFormat="false" ht="15" hidden="false" customHeight="true" outlineLevel="0" collapsed="false">
      <c r="A29" s="13" t="s">
        <v>209</v>
      </c>
      <c r="B29" s="23" t="n">
        <f aca="false">B6*B7</f>
        <v>4.2</v>
      </c>
      <c r="C29" s="15" t="s">
        <v>210</v>
      </c>
    </row>
    <row r="30" customFormat="false" ht="15" hidden="false" customHeight="true" outlineLevel="0" collapsed="false">
      <c r="A30" s="13" t="s">
        <v>211</v>
      </c>
      <c r="B30" s="23" t="n">
        <f aca="false">B28+B29</f>
        <v>65.1875</v>
      </c>
      <c r="C30" s="15" t="s">
        <v>212</v>
      </c>
    </row>
    <row r="31" customFormat="false" ht="15" hidden="false" customHeight="true" outlineLevel="0" collapsed="false">
      <c r="A31" s="13" t="s">
        <v>213</v>
      </c>
      <c r="B31" s="22" t="n">
        <f aca="false">B13*B14*B15*2*B16</f>
        <v>36864</v>
      </c>
      <c r="C31" s="15" t="s">
        <v>214</v>
      </c>
    </row>
    <row r="32" customFormat="false" ht="15" hidden="false" customHeight="true" outlineLevel="0" collapsed="false">
      <c r="A32" s="13" t="s">
        <v>215</v>
      </c>
      <c r="B32" s="23" t="n">
        <f aca="false">B31*B17/10^9</f>
        <v>4.831838208</v>
      </c>
      <c r="C32" s="15" t="s">
        <v>216</v>
      </c>
    </row>
    <row r="33" customFormat="false" ht="15" hidden="false" customHeight="true" outlineLevel="0" collapsed="false">
      <c r="A33" s="13" t="s">
        <v>217</v>
      </c>
      <c r="B33" s="23" t="n">
        <f aca="false">B19-B30-B21</f>
        <v>28.8125</v>
      </c>
      <c r="C33" s="15" t="s">
        <v>218</v>
      </c>
    </row>
    <row r="34" customFormat="false" ht="15" hidden="false" customHeight="true" outlineLevel="0" collapsed="false">
      <c r="A34" s="13" t="s">
        <v>219</v>
      </c>
      <c r="B34" s="18" t="n">
        <f aca="false">INT(B33*10^9/(B31*B17))</f>
        <v>5</v>
      </c>
      <c r="C34" s="15" t="s">
        <v>89</v>
      </c>
    </row>
    <row r="35" customFormat="false" ht="15" hidden="false" customHeight="true" outlineLevel="0" collapsed="false">
      <c r="A35" s="13" t="s">
        <v>220</v>
      </c>
      <c r="B35" s="18" t="n">
        <f aca="false">INT(B33*10^9/(B31*B18))</f>
        <v>23</v>
      </c>
      <c r="C35" s="15" t="s">
        <v>221</v>
      </c>
    </row>
    <row r="36" customFormat="false" ht="15" hidden="false" customHeight="true" outlineLevel="0" collapsed="false">
      <c r="A36" s="13" t="s">
        <v>222</v>
      </c>
      <c r="B36" s="23" t="n">
        <f aca="false">B20-B30-B21</f>
        <v>60.8125</v>
      </c>
    </row>
    <row r="38" customFormat="false" ht="15" hidden="false" customHeight="true" outlineLevel="0" collapsed="false">
      <c r="A38" s="9" t="s">
        <v>223</v>
      </c>
      <c r="B38" s="9" t="s">
        <v>85</v>
      </c>
      <c r="C38" s="9" t="s">
        <v>21</v>
      </c>
    </row>
    <row r="39" customFormat="false" ht="15" hidden="false" customHeight="true" outlineLevel="0" collapsed="false">
      <c r="A39" s="13" t="s">
        <v>224</v>
      </c>
      <c r="B39" s="28" t="n">
        <f aca="false">B4*B9/B8</f>
        <v>3.5875</v>
      </c>
      <c r="C39" s="15" t="s">
        <v>225</v>
      </c>
    </row>
    <row r="40" customFormat="false" ht="15" hidden="false" customHeight="true" outlineLevel="0" collapsed="false">
      <c r="A40" s="13" t="s">
        <v>226</v>
      </c>
      <c r="B40" s="28" t="n">
        <f aca="false">B39*B5/8</f>
        <v>1.905859375</v>
      </c>
      <c r="C40" s="15" t="s">
        <v>227</v>
      </c>
    </row>
    <row r="41" customFormat="false" ht="15" hidden="false" customHeight="true" outlineLevel="0" collapsed="false">
      <c r="A41" s="13" t="s">
        <v>228</v>
      </c>
      <c r="B41" s="28" t="n">
        <f aca="false">B10*B11</f>
        <v>3</v>
      </c>
      <c r="C41" s="15" t="s">
        <v>229</v>
      </c>
    </row>
    <row r="42" customFormat="false" ht="15" hidden="false" customHeight="true" outlineLevel="0" collapsed="false">
      <c r="A42" s="13" t="s">
        <v>230</v>
      </c>
      <c r="B42" s="28" t="n">
        <f aca="false">B40+B41</f>
        <v>4.905859375</v>
      </c>
      <c r="C42" s="15" t="s">
        <v>231</v>
      </c>
    </row>
    <row r="43" customFormat="false" ht="15" hidden="false" customHeight="true" outlineLevel="0" collapsed="false">
      <c r="A43" s="13" t="s">
        <v>232</v>
      </c>
      <c r="B43" s="18" t="n">
        <f aca="false">B22/B42</f>
        <v>365.277490246039</v>
      </c>
      <c r="C43" s="15" t="s">
        <v>233</v>
      </c>
    </row>
    <row r="44" customFormat="false" ht="15" hidden="false" customHeight="true" outlineLevel="0" collapsed="false">
      <c r="A44" s="13" t="s">
        <v>234</v>
      </c>
      <c r="B44" s="18" t="n">
        <f aca="false">B23/B42</f>
        <v>55.64774265467</v>
      </c>
      <c r="C44" s="15" t="s">
        <v>235</v>
      </c>
    </row>
    <row r="45" customFormat="false" ht="15" hidden="false" customHeight="true" outlineLevel="0" collapsed="false">
      <c r="A45" s="13" t="s">
        <v>236</v>
      </c>
      <c r="B45" s="28" t="n">
        <f aca="false">B31*B18/10^9</f>
        <v>1.207959552</v>
      </c>
      <c r="C45" s="15" t="s">
        <v>237</v>
      </c>
    </row>
    <row r="46" customFormat="false" ht="15" hidden="false" customHeight="true" outlineLevel="0" collapsed="false">
      <c r="A46" s="13" t="s">
        <v>238</v>
      </c>
      <c r="B46" s="18" t="n">
        <f aca="false">B22/(B42+B45)</f>
        <v>293.106488987779</v>
      </c>
      <c r="C46" s="15" t="s">
        <v>239</v>
      </c>
    </row>
    <row r="47" customFormat="false" ht="15" hidden="false" customHeight="true" outlineLevel="0" collapsed="false">
      <c r="A47" s="13" t="s">
        <v>240</v>
      </c>
      <c r="B47" s="18" t="n">
        <f aca="false">B23/(B42+B45)</f>
        <v>44.6529416817319</v>
      </c>
      <c r="C47" s="15" t="s">
        <v>241</v>
      </c>
    </row>
    <row r="48" customFormat="false" ht="15" hidden="false" customHeight="true" outlineLevel="0" collapsed="false">
      <c r="A48" s="13" t="s">
        <v>242</v>
      </c>
      <c r="B48" s="28" t="n">
        <f aca="false">B40+B10*1</f>
        <v>3.405859375</v>
      </c>
      <c r="C48" s="15" t="s">
        <v>243</v>
      </c>
    </row>
    <row r="49" customFormat="false" ht="15" hidden="false" customHeight="true" outlineLevel="0" collapsed="false">
      <c r="A49" s="13" t="s">
        <v>244</v>
      </c>
      <c r="B49" s="18" t="n">
        <f aca="false">B22/B48</f>
        <v>526.152081660741</v>
      </c>
      <c r="C49" s="15" t="s">
        <v>245</v>
      </c>
    </row>
    <row r="50" customFormat="false" ht="15" hidden="false" customHeight="true" outlineLevel="0" collapsed="false">
      <c r="A50" s="13" t="s">
        <v>246</v>
      </c>
      <c r="B50" s="18" t="n">
        <f aca="false">B23/B48</f>
        <v>80.1559811905035</v>
      </c>
      <c r="C50" s="15" t="s">
        <v>247</v>
      </c>
    </row>
    <row r="52" customFormat="false" ht="15" hidden="false" customHeight="true" outlineLevel="0" collapsed="false">
      <c r="A52" s="9" t="s">
        <v>248</v>
      </c>
      <c r="B52" s="9" t="s">
        <v>85</v>
      </c>
      <c r="C52" s="9" t="s">
        <v>21</v>
      </c>
    </row>
    <row r="53" customFormat="false" ht="15" hidden="false" customHeight="true" outlineLevel="0" collapsed="false">
      <c r="A53" s="13" t="s">
        <v>249</v>
      </c>
      <c r="B53" s="18" t="n">
        <f aca="false">Fit!K20</f>
        <v>41.7959183673469</v>
      </c>
      <c r="C53" s="15" t="s">
        <v>176</v>
      </c>
    </row>
    <row r="54" customFormat="false" ht="15" hidden="false" customHeight="true" outlineLevel="0" collapsed="false">
      <c r="A54" s="13" t="s">
        <v>250</v>
      </c>
      <c r="B54" s="23" t="n">
        <f aca="false">B24/B25</f>
        <v>1.67142857142857</v>
      </c>
      <c r="C54" s="15" t="s">
        <v>251</v>
      </c>
    </row>
    <row r="55" customFormat="false" ht="15" hidden="false" customHeight="true" outlineLevel="0" collapsed="false">
      <c r="A55" s="13" t="s">
        <v>252</v>
      </c>
      <c r="B55" s="23" t="n">
        <f aca="false">B43/B53</f>
        <v>8.73954932717573</v>
      </c>
      <c r="C55" s="15" t="s">
        <v>253</v>
      </c>
    </row>
    <row r="57" customFormat="false" ht="15" hidden="false" customHeight="false" outlineLevel="0" collapsed="false">
      <c r="A57" s="19" t="s">
        <v>254</v>
      </c>
    </row>
    <row r="58" customFormat="false" ht="15" hidden="false" customHeight="false" outlineLevel="0" collapsed="false">
      <c r="A58" s="19" t="s">
        <v>255</v>
      </c>
    </row>
    <row r="59" customFormat="false" ht="15" hidden="false" customHeight="false" outlineLevel="0" collapsed="false">
      <c r="A59" s="19"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2026-10-26T14:23:17Z</dcterms:created>
  <dc:creator>openpyxl</dc:creator>
  <dc:description/>
  <dc:language>en-US</dc:language>
  <cp:lastModifiedBy/>
  <dcterms:modified xsi:type="dcterms:W3CDTF">2026-10-26T14:23:17Z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