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ession Budget" sheetId="2" state="visible" r:id="rId4"/>
    <sheet name="Memory Scoring" sheetId="3" state="visible" r:id="rId5"/>
    <sheet name="Memory Cost" sheetId="4" state="visible" r:id="rId6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<sst xmlns="http://schemas.openxmlformats.org/spreadsheetml/2006/main" count="177" uniqueCount="163">
  <si>
    <t xml:space="preserve">Chapter 22 — Memory and Context Engineering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</si>
  <si>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</si>
  <si>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</si>
  <si>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</si>
  <si>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</si>
  <si>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Session Budget</t>
  </si>
  <si>
    <t xml:space="preserve">Context growth, input tokens and input cost of a 60-call agent session, with and without prompt caching and compaction; cache expiry, a lower read price, memories placed in the prefix, summarization calls, and the 116,000-token budget. Per-call table for Figure 22.3.</t>
  </si>
  <si>
    <t xml:space="preserve">Section 22.3, Worked Example 22.1; Sections 22.4–22.6; Figure 22.3</t>
  </si>
  <si>
    <t xml:space="preserve">Memory Scoring</t>
  </si>
  <si>
    <t xml:space="preserve">Recency, importance and relevance of three memories scaled to 0–1 and combined with adjustable weights (equal, pure relevance, recency weighted twice, and fixed ranges).</t>
  </si>
  <si>
    <t xml:space="preserve">Section 22.6, Worked Example 22.2</t>
  </si>
  <si>
    <t xml:space="preserve">Memory Cost</t>
  </si>
  <si>
    <t xml:space="preserve">Daily calls, tokens, compute time and storage of the team-memory write path on the Rack, and the personal-memory write path on a Box.</t>
  </si>
  <si>
    <t xml:space="preserve">Section 22.6, Worked Example 22.3</t>
  </si>
  <si>
    <t xml:space="preserve">Notes</t>
  </si>
  <si>
    <t xml:space="preserve">Units are decimal (1 MB = 10^6 bytes, 1 GB = 10^9 bytes). Prices in US$ per million tokens, as assumed in the text (October 2026).</t>
  </si>
  <si>
    <t xml:space="preserve">Session Budget: the per-call table holds 120 rows, so sessions of up to 120 calls can be modeled; rows beyond the number of calls are left blank.</t>
  </si>
  <si>
    <t xml:space="preserve">Compute times are planning estimates from effective rates stated in other chapters (Worked Examples 15.2, 33.2 and 35.2), cited in the labels.</t>
  </si>
  <si>
    <t xml:space="preserve">The Context Budget of an Agent Session (Worked Example 22.1)</t>
  </si>
  <si>
    <t xml:space="preserve">Stable prefix: instructions, tools, memory summary (tokens)</t>
  </si>
  <si>
    <t xml:space="preserve">Tokens added to the history per step (tokens)</t>
  </si>
  <si>
    <t xml:space="preserve">Calls in the session (1–120)</t>
  </si>
  <si>
    <t xml:space="preserve">Input price (US$ per million tokens; middle tier of Table 27.3)</t>
  </si>
  <si>
    <t xml:space="preserve">Cache write price (× input price)</t>
  </si>
  <si>
    <t xml:space="preserve">Cache read price (× input price)</t>
  </si>
  <si>
    <t xml:space="preserve">Cache read price of several 2026 models (× input price)</t>
  </si>
  <si>
    <t xml:space="preserve">Context window (tokens; 128k)</t>
  </si>
  <si>
    <t xml:space="preserve">Compaction threshold (tokens; compaction when the context would exceed it)</t>
  </si>
  <si>
    <t xml:space="preserve">Context after compaction: stable prefix + summary (tokens)</t>
  </si>
  <si>
    <t xml:space="preserve">Cache expires before every Nth call (N)</t>
  </si>
  <si>
    <t xml:space="preserve">Prefix tokens retrieved anew for each call, if memories go in the prefix (tokens)</t>
  </si>
  <si>
    <t xml:space="preserve">Summary written at compaction, low (tokens)</t>
  </si>
  <si>
    <t xml:space="preserve">Summary written at compaction, high (tokens)</t>
  </si>
  <si>
    <t xml:space="preserve">Output price (US$ per million tokens)</t>
  </si>
  <si>
    <t xml:space="preserve">Budget allotment (tokens)</t>
  </si>
  <si>
    <t xml:space="preserve">Instructions</t>
  </si>
  <si>
    <t xml:space="preserve">Tool definitions (20 tools)</t>
  </si>
  <si>
    <t xml:space="preserve">Memory summary</t>
  </si>
  <si>
    <t xml:space="preserve">History and tool results, up to the compaction trigger</t>
  </si>
  <si>
    <t xml:space="preserve">Reserved for reasoning and the answer</t>
  </si>
  <si>
    <t xml:space="preserve">Result</t>
  </si>
  <si>
    <t xml:space="preserve">Workbook</t>
  </si>
  <si>
    <t xml:space="preserve">Value in the book</t>
  </si>
  <si>
    <t xml:space="preserve">Context at the last call (tokens)</t>
  </si>
  <si>
    <t xml:space="preserve">First call that no longer fits the window</t>
  </si>
  <si>
    <t xml:space="preserve">Input tokens over the session (millions)</t>
  </si>
  <si>
    <t xml:space="preserve">   of which re-reading the stable prefix (millions)</t>
  </si>
  <si>
    <t xml:space="preserve">   of which history (millions)</t>
  </si>
  <si>
    <t xml:space="preserve">Input cost, no caching, no compaction (US$)</t>
  </si>
  <si>
    <t xml:space="preserve">Input tokens with twice as many calls (millions)</t>
  </si>
  <si>
    <t xml:space="preserve">Growth factor when the calls double</t>
  </si>
  <si>
    <t xml:space="preserve">≈ 4</t>
  </si>
  <si>
    <t xml:space="preserve">Input cost, compaction alone (US$)</t>
  </si>
  <si>
    <t xml:space="preserve">Input cost, caching alone (US$)</t>
  </si>
  <si>
    <t xml:space="preserve">Input cost, caching and compaction (US$)</t>
  </si>
  <si>
    <t xml:space="preserve">Saving of caching and compaction against neither</t>
  </si>
  <si>
    <t xml:space="preserve">Compactions in the session</t>
  </si>
  <si>
    <t xml:space="preserve">Summarization calls, short summaries (US$)</t>
  </si>
  <si>
    <t xml:space="preserve">Summarization calls, long summaries (US$)</t>
  </si>
  <si>
    <t xml:space="preserve">Caching alone, cache expired before every Nth call (US$)</t>
  </si>
  <si>
    <t xml:space="preserve">Caching alone at the lower read price (US$)</t>
  </si>
  <si>
    <t xml:space="preserve">Caching alone, retrieved memories in the prefix (US$)</t>
  </si>
  <si>
    <t xml:space="preserve">Budget: stable prefix (tokens)</t>
  </si>
  <si>
    <t xml:space="preserve">Budget: total allotment (tokens)</t>
  </si>
  <si>
    <t xml:space="preserve">Budget fits the context window?</t>
  </si>
  <si>
    <t xml:space="preserve">yes</t>
  </si>
  <si>
    <t xml:space="preserve">Check: calls within the 120-row table</t>
  </si>
  <si>
    <t xml:space="preserve">Caching: the first call writes its whole context to the cache; each later call reads the previous call's context at the read price and writes the new tokens at the write price.</t>
  </si>
  <si>
    <t xml:space="preserve">Compaction: when the context would exceed the threshold, the session continues from the stable prefix (still cached) plus a summary, written to the cache again. Summarization calls: the cached context read once plus the latest step, and the summary as output.</t>
  </si>
  <si>
    <t xml:space="preserve">Memories in the prefix: the first 8,000 prefix tokens stay cached; everything from the retrieved memories onward is written to the cache again on every call.</t>
  </si>
  <si>
    <t xml:space="preserve">Per-call table (Figure 22.3: cumulative input cost, summarization calls excluded)</t>
  </si>
  <si>
    <t xml:space="preserve">Call k</t>
  </si>
  <si>
    <t xml:space="preserve">Context, no compaction (tokens)</t>
  </si>
  <si>
    <t xml:space="preserve">Cost, no caching (US$)</t>
  </si>
  <si>
    <t xml:space="preserve">Cost, caching (US$)</t>
  </si>
  <si>
    <t xml:space="preserve">Cost, caching, cache expires every Nth call (US$)</t>
  </si>
  <si>
    <t xml:space="preserve">Cost, caching at lower read price (US$)</t>
  </si>
  <si>
    <t xml:space="preserve">Cost, caching, memories in prefix (US$)</t>
  </si>
  <si>
    <t xml:space="preserve">Context with compaction (tokens)</t>
  </si>
  <si>
    <t xml:space="preserve">Compacted at this call</t>
  </si>
  <si>
    <t xml:space="preserve">Cost, compaction alone (US$)</t>
  </si>
  <si>
    <t xml:space="preserve">Cost, caching and compaction (US$)</t>
  </si>
  <si>
    <t xml:space="preserve">Summarization call input (US$)</t>
  </si>
  <si>
    <t xml:space="preserve">Cumulative, neither (US$)</t>
  </si>
  <si>
    <t xml:space="preserve">Cumulative, compaction (US$)</t>
  </si>
  <si>
    <t xml:space="preserve">Cumulative, caching (US$)</t>
  </si>
  <si>
    <t xml:space="preserve">Cumulative, both (US$)</t>
  </si>
  <si>
    <t xml:space="preserve">Ranking Three Memories (Worked Example 22.2)</t>
  </si>
  <si>
    <t xml:space="preserve">Recency decay factor per hour since last use</t>
  </si>
  <si>
    <t xml:space="preserve">Candidate memories (inputs)</t>
  </si>
  <si>
    <t xml:space="preserve">Memory</t>
  </si>
  <si>
    <t xml:space="preserve">Hours since last use</t>
  </si>
  <si>
    <t xml:space="preserve">Importance (1–10)</t>
  </si>
  <si>
    <t xml:space="preserve">Relevance (cosine)</t>
  </si>
  <si>
    <t xml:space="preserve">M1 — scheduling note</t>
  </si>
  <si>
    <t xml:space="preserve">M2 — supplier delay</t>
  </si>
  <si>
    <t xml:space="preserve">M3 — last year's failed installation</t>
  </si>
  <si>
    <t xml:space="preserve">Weights (relevance, recency, importance)</t>
  </si>
  <si>
    <t xml:space="preserve">Scheme</t>
  </si>
  <si>
    <t xml:space="preserve">Relevance weight</t>
  </si>
  <si>
    <t xml:space="preserve">Recency weight</t>
  </si>
  <si>
    <t xml:space="preserve">Importance weight</t>
  </si>
  <si>
    <t xml:space="preserve">Equal weights</t>
  </si>
  <si>
    <t xml:space="preserve">Pure relevance (document RAG)</t>
  </si>
  <si>
    <t xml:space="preserve">Recency weighted twice</t>
  </si>
  <si>
    <t xml:space="preserve">Fixed ranges, equal weights</t>
  </si>
  <si>
    <t xml:space="preserve">Scaled scores (0–1 across the candidates: minimum to 0, maximum to 1)</t>
  </si>
  <si>
    <t xml:space="preserve">Recency (decay^hours)</t>
  </si>
  <si>
    <t xml:space="preserve">Recency, scaled</t>
  </si>
  <si>
    <t xml:space="preserve">Importance, scaled</t>
  </si>
  <si>
    <t xml:space="preserve">Relevance, scaled</t>
  </si>
  <si>
    <t xml:space="preserve">Importance ÷ 10 (fixed range)</t>
  </si>
  <si>
    <t xml:space="preserve">M1</t>
  </si>
  <si>
    <t xml:space="preserve">M2</t>
  </si>
  <si>
    <t xml:space="preserve">M3</t>
  </si>
  <si>
    <t xml:space="preserve">Combined scores and ranks (rank 1 is retrieved first)</t>
  </si>
  <si>
    <t xml:space="preserve">Rank</t>
  </si>
  <si>
    <t xml:space="preserve">Pure relevance</t>
  </si>
  <si>
    <t xml:space="preserve">Recency × 2</t>
  </si>
  <si>
    <t xml:space="preserve">Fixed ranges</t>
  </si>
  <si>
    <t xml:space="preserve">3rd</t>
  </si>
  <si>
    <t xml:space="preserve">2nd</t>
  </si>
  <si>
    <t xml:space="preserve">1st</t>
  </si>
  <si>
    <t xml:space="preserve">Reading: with equal weights M3 and M2 are retrieved and the recent but trivial M1 is not; with recency weighted twice the current supplier delay leads and M1 ties with M3.</t>
  </si>
  <si>
    <t xml:space="preserve">Scaling over only three candidates exaggerates small differences (a relevance of 0.62 becomes 0); the 'Fixed ranges' columns use raw recency, importance ÷ 10 and raw relevance instead (not in the book).</t>
  </si>
  <si>
    <t xml:space="preserve">The Cost of Remembering Team Context on the Rack (Worked Example 22.3)</t>
  </si>
  <si>
    <t xml:space="preserve">Employees using the corporate assistant</t>
  </si>
  <si>
    <t xml:space="preserve">Turns per person per working day</t>
  </si>
  <si>
    <t xml:space="preserve">Prompt per extraction call (tokens)</t>
  </si>
  <si>
    <t xml:space="preserve">Output per extraction call (tokens)</t>
  </si>
  <si>
    <t xml:space="preserve">Prompt multiplier (1 = one call; about 2 with a separate reconciliation call, as in Mem0)</t>
  </si>
  <si>
    <t xml:space="preserve">Extraction model (billion parameters)</t>
  </si>
  <si>
    <t xml:space="preserve">Effective compute, generic planning rate (TFLOP/s)</t>
  </si>
  <si>
    <t xml:space="preserve">Effective compute, RTX PRO 6000 in FP8 (TFLOP/s; Worked Example 15.2)</t>
  </si>
  <si>
    <t xml:space="preserve">Effective compute, RTX PRO 6000 in BF16 (TFLOP/s; Worked Example 33.2)</t>
  </si>
  <si>
    <t xml:space="preserve">Batched output rate (tokens/s)</t>
  </si>
  <si>
    <t xml:space="preserve">Share of turns that yield a memory</t>
  </si>
  <si>
    <t xml:space="preserve">Memory text (tokens)</t>
  </si>
  <si>
    <t xml:space="preserve">Bytes per token of stored text (assumption: about 4)</t>
  </si>
  <si>
    <t xml:space="preserve">Vector dimensions</t>
  </si>
  <si>
    <t xml:space="preserve">Bytes per dimension (int8)</t>
  </si>
  <si>
    <t xml:space="preserve">Days a year with memory writes</t>
  </si>
  <si>
    <t xml:space="preserve">Personal memories on the Box (planning rates of Worked Example 35.2)</t>
  </si>
  <si>
    <t xml:space="preserve">Minimum Box: prefill (tokens/s)</t>
  </si>
  <si>
    <t xml:space="preserve">Minimum Box: decode (tokens/s)</t>
  </si>
  <si>
    <t xml:space="preserve">Recommended Box: prefill (tokens/s)</t>
  </si>
  <si>
    <t xml:space="preserve">Recommended Box: decode (tokens/s)</t>
  </si>
  <si>
    <t xml:space="preserve">Extraction calls a day</t>
  </si>
  <si>
    <t xml:space="preserve">Prompt tokens a day (millions)</t>
  </si>
  <si>
    <t xml:space="preserve">Output tokens a day (millions)</t>
  </si>
  <si>
    <t xml:space="preserve">Prefill compute a day (FLOP)</t>
  </si>
  <si>
    <t xml:space="preserve">Prefill time at the generic rate (minutes)</t>
  </si>
  <si>
    <t xml:space="preserve">Prefill time on one RTX PRO 6000, FP8 (minutes)</t>
  </si>
  <si>
    <t xml:space="preserve">Prefill time on one RTX PRO 6000, BF16 (minutes)</t>
  </si>
  <si>
    <t xml:space="preserve">Output time at the batched rate (minutes)</t>
  </si>
  <si>
    <t xml:space="preserve">Memories written a day</t>
  </si>
  <si>
    <t xml:space="preserve">Storage added a day (MB)</t>
  </si>
  <si>
    <t xml:space="preserve">Storage added a year (GB)</t>
  </si>
  <si>
    <t xml:space="preserve">Personal memories, minimum Box (minutes a day)</t>
  </si>
  <si>
    <t xml:space="preserve">Personal memories, recommended Box (seconds a day)</t>
  </si>
  <si>
    <t xml:space="preserve">under 60</t>
  </si>
  <si>
    <t xml:space="preserve">Reading: the write path costs a modest fraction of one GPU and can run in batches during idle periods; storage is negligible. The real costs are quality and governance.</t>
  </si>
  <si>
    <t xml:space="preserve">Storage counts the memory text (4 bytes per token, an assumption) and its int8 vector, without index or metadata overhead: 2.5 MB a day, which the book rounds to about 3 MB. With 250 working days instead of 365 the year comes to about 0.6 GB.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</si>
</sst>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"/>
    <numFmt numFmtId="167" formatCode="0.00"/>
    <numFmt numFmtId="168" formatCode="0.000"/>
    <numFmt numFmtId="169" formatCode="0.0"/>
    <numFmt numFmtId="170" formatCode="0%"/>
    <numFmt numFmtId="171" formatCode="0.0000"/>
    <numFmt numFmtId="172" formatCode="0.00E+00"/>
    <numFmt numFmtId="173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46.2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23.8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23.85" hidden="false" customHeight="false" outlineLevel="0" collapsed="false">
      <c r="A7" s="4" t="s">
        <v>11</v>
      </c>
      <c r="B7" s="5" t="s">
        <v>12</v>
      </c>
      <c r="C7" s="5" t="s">
        <v>13</v>
      </c>
    </row>
    <row r="9" customFormat="false" ht="15" hidden="false" customHeight="false" outlineLevel="0" collapsed="false">
      <c r="A9" s="4" t="s">
        <v>14</v>
      </c>
    </row>
    <row r="10" customFormat="false" ht="15" hidden="false" customHeight="true" outlineLevel="0" collapsed="false">
      <c r="A10" s="6" t="s">
        <v>15</v>
      </c>
      <c r="B10" s="6"/>
      <c r="C10" s="6"/>
    </row>
    <row r="11" customFormat="false" ht="30" hidden="false" customHeight="true" outlineLevel="0" collapsed="false">
      <c r="A11" s="6" t="s">
        <v>16</v>
      </c>
      <c r="B11" s="6"/>
      <c r="C11" s="6"/>
    </row>
    <row r="12" customFormat="false" ht="30" hidden="false" customHeight="true" outlineLevel="0" collapsed="false">
      <c r="A12" s="6" t="s">
        <v>17</v>
      </c>
      <c r="B12" s="6"/>
      <c r="C12" s="6"/>
    </row>
  </sheetData>
  <mergeCells count="4"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16" min="4" style="0" width="14"/>
  </cols>
  <sheetData>
    <row r="1" customFormat="false" ht="16.15" hidden="false" customHeight="false" outlineLevel="0" collapsed="false">
      <c r="A1" s="7" t="s">
        <v>18</v>
      </c>
    </row>
    <row r="3" customFormat="false" ht="15" hidden="false" customHeight="false" outlineLevel="0" collapsed="false">
      <c r="A3" s="8" t="s">
        <v>19</v>
      </c>
      <c r="B3" s="9" t="n">
        <v>10000</v>
      </c>
    </row>
    <row r="4" customFormat="false" ht="15" hidden="false" customHeight="false" outlineLevel="0" collapsed="false">
      <c r="A4" s="8" t="s">
        <v>20</v>
      </c>
      <c r="B4" s="9" t="n">
        <v>3000</v>
      </c>
    </row>
    <row r="5" customFormat="false" ht="15" hidden="false" customHeight="false" outlineLevel="0" collapsed="false">
      <c r="A5" s="8" t="s">
        <v>21</v>
      </c>
      <c r="B5" s="10" t="n">
        <v>60</v>
      </c>
    </row>
    <row r="6" customFormat="false" ht="15" hidden="false" customHeight="false" outlineLevel="0" collapsed="false">
      <c r="A6" s="8" t="s">
        <v>22</v>
      </c>
      <c r="B6" s="11" t="n">
        <v>2</v>
      </c>
    </row>
    <row r="7" customFormat="false" ht="15" hidden="false" customHeight="false" outlineLevel="0" collapsed="false">
      <c r="A7" s="8" t="s">
        <v>23</v>
      </c>
      <c r="B7" s="11" t="n">
        <v>1.25</v>
      </c>
    </row>
    <row r="8" customFormat="false" ht="15" hidden="false" customHeight="false" outlineLevel="0" collapsed="false">
      <c r="A8" s="8" t="s">
        <v>24</v>
      </c>
      <c r="B8" s="12" t="n">
        <v>0.1</v>
      </c>
    </row>
    <row r="9" customFormat="false" ht="15" hidden="false" customHeight="false" outlineLevel="0" collapsed="false">
      <c r="A9" s="8" t="s">
        <v>25</v>
      </c>
      <c r="B9" s="12" t="n">
        <v>0.05</v>
      </c>
    </row>
    <row r="10" customFormat="false" ht="15" hidden="false" customHeight="false" outlineLevel="0" collapsed="false">
      <c r="A10" s="8" t="s">
        <v>26</v>
      </c>
      <c r="B10" s="9" t="n">
        <v>131072</v>
      </c>
    </row>
    <row r="11" customFormat="false" ht="15" hidden="false" customHeight="false" outlineLevel="0" collapsed="false">
      <c r="A11" s="8" t="s">
        <v>27</v>
      </c>
      <c r="B11" s="9" t="n">
        <v>100000</v>
      </c>
    </row>
    <row r="12" customFormat="false" ht="15" hidden="false" customHeight="false" outlineLevel="0" collapsed="false">
      <c r="A12" s="8" t="s">
        <v>28</v>
      </c>
      <c r="B12" s="9" t="n">
        <v>25000</v>
      </c>
    </row>
    <row r="13" customFormat="false" ht="15" hidden="false" customHeight="false" outlineLevel="0" collapsed="false">
      <c r="A13" s="8" t="s">
        <v>29</v>
      </c>
      <c r="B13" s="10" t="n">
        <v>10</v>
      </c>
    </row>
    <row r="14" customFormat="false" ht="15" hidden="false" customHeight="false" outlineLevel="0" collapsed="false">
      <c r="A14" s="8" t="s">
        <v>30</v>
      </c>
      <c r="B14" s="9" t="n">
        <v>2000</v>
      </c>
    </row>
    <row r="15" customFormat="false" ht="15" hidden="false" customHeight="false" outlineLevel="0" collapsed="false">
      <c r="A15" s="8" t="s">
        <v>31</v>
      </c>
      <c r="B15" s="9" t="n">
        <v>5000</v>
      </c>
    </row>
    <row r="16" customFormat="false" ht="15" hidden="false" customHeight="false" outlineLevel="0" collapsed="false">
      <c r="A16" s="8" t="s">
        <v>32</v>
      </c>
      <c r="B16" s="9" t="n">
        <v>15000</v>
      </c>
    </row>
    <row r="17" customFormat="false" ht="15" hidden="false" customHeight="false" outlineLevel="0" collapsed="false">
      <c r="A17" s="8" t="s">
        <v>33</v>
      </c>
      <c r="B17" s="11" t="n">
        <v>10</v>
      </c>
    </row>
    <row r="19" customFormat="false" ht="15" hidden="false" customHeight="false" outlineLevel="0" collapsed="false">
      <c r="A19" s="4" t="s">
        <v>34</v>
      </c>
    </row>
    <row r="20" customFormat="false" ht="15" hidden="false" customHeight="false" outlineLevel="0" collapsed="false">
      <c r="A20" s="8" t="s">
        <v>35</v>
      </c>
      <c r="B20" s="9" t="n">
        <v>3000</v>
      </c>
    </row>
    <row r="21" customFormat="false" ht="15" hidden="false" customHeight="false" outlineLevel="0" collapsed="false">
      <c r="A21" s="8" t="s">
        <v>36</v>
      </c>
      <c r="B21" s="9" t="n">
        <v>6000</v>
      </c>
    </row>
    <row r="22" customFormat="false" ht="15" hidden="false" customHeight="false" outlineLevel="0" collapsed="false">
      <c r="A22" s="8" t="s">
        <v>37</v>
      </c>
      <c r="B22" s="9" t="n">
        <v>1000</v>
      </c>
    </row>
    <row r="23" customFormat="false" ht="15" hidden="false" customHeight="false" outlineLevel="0" collapsed="false">
      <c r="A23" s="8" t="s">
        <v>38</v>
      </c>
      <c r="B23" s="9" t="n">
        <v>90000</v>
      </c>
    </row>
    <row r="24" customFormat="false" ht="15" hidden="false" customHeight="false" outlineLevel="0" collapsed="false">
      <c r="A24" s="8" t="s">
        <v>39</v>
      </c>
      <c r="B24" s="9" t="n">
        <v>16000</v>
      </c>
    </row>
    <row r="26" customFormat="false" ht="15" hidden="false" customHeight="false" outlineLevel="0" collapsed="false">
      <c r="A26" s="13" t="s">
        <v>40</v>
      </c>
      <c r="B26" s="13" t="s">
        <v>41</v>
      </c>
      <c r="C26" s="13" t="s">
        <v>42</v>
      </c>
    </row>
    <row r="27" customFormat="false" ht="15" hidden="false" customHeight="false" outlineLevel="0" collapsed="false">
      <c r="A27" s="14" t="s">
        <v>43</v>
      </c>
      <c r="B27" s="15" t="n">
        <f aca="false">$B$3+$B$4*($B$5-1)</f>
        <v>187000</v>
      </c>
      <c r="C27" s="16" t="n">
        <v>187000</v>
      </c>
    </row>
    <row r="28" customFormat="false" ht="15" hidden="false" customHeight="false" outlineLevel="0" collapsed="false">
      <c r="A28" s="14" t="s">
        <v>44</v>
      </c>
      <c r="B28" s="17" t="n">
        <f aca="false">INT(($B$10-$B$3)/$B$4)+2</f>
        <v>42</v>
      </c>
      <c r="C28" s="18" t="n">
        <v>42</v>
      </c>
    </row>
    <row r="29" customFormat="false" ht="15" hidden="false" customHeight="false" outlineLevel="0" collapsed="false">
      <c r="A29" s="14" t="s">
        <v>45</v>
      </c>
      <c r="B29" s="19" t="n">
        <f aca="false">($B$5*$B$3+$B$4*$B$5*($B$5-1)/2)/1000000</f>
        <v>5.91</v>
      </c>
      <c r="C29" s="20" t="n">
        <v>5.91</v>
      </c>
    </row>
    <row r="30" customFormat="false" ht="15" hidden="false" customHeight="false" outlineLevel="0" collapsed="false">
      <c r="A30" s="14" t="s">
        <v>46</v>
      </c>
      <c r="B30" s="19" t="n">
        <f aca="false">$B$5*$B$3/1000000</f>
        <v>0.6</v>
      </c>
      <c r="C30" s="20" t="n">
        <v>0.6</v>
      </c>
    </row>
    <row r="31" customFormat="false" ht="15" hidden="false" customHeight="false" outlineLevel="0" collapsed="false">
      <c r="A31" s="14" t="s">
        <v>47</v>
      </c>
      <c r="B31" s="19" t="n">
        <f aca="false">$B$4*$B$5*($B$5-1)/2/1000000</f>
        <v>5.31</v>
      </c>
      <c r="C31" s="20" t="n">
        <v>5.31</v>
      </c>
    </row>
    <row r="32" customFormat="false" ht="15" hidden="false" customHeight="false" outlineLevel="0" collapsed="false">
      <c r="A32" s="14" t="s">
        <v>48</v>
      </c>
      <c r="B32" s="19" t="n">
        <f aca="false">SUM(C60:C179)</f>
        <v>11.82</v>
      </c>
      <c r="C32" s="20" t="n">
        <v>11.82</v>
      </c>
    </row>
    <row r="33" customFormat="false" ht="15" hidden="false" customHeight="false" outlineLevel="0" collapsed="false">
      <c r="A33" s="14" t="s">
        <v>49</v>
      </c>
      <c r="B33" s="21" t="n">
        <f aca="false">(2*$B$5*$B$3+$B$4*2*$B$5*(2*$B$5-1)/2)/1000000</f>
        <v>22.62</v>
      </c>
      <c r="C33" s="22" t="n">
        <v>22.6</v>
      </c>
    </row>
    <row r="34" customFormat="false" ht="15" hidden="false" customHeight="false" outlineLevel="0" collapsed="false">
      <c r="A34" s="14" t="s">
        <v>50</v>
      </c>
      <c r="B34" s="19" t="n">
        <f aca="false">$B$33/$B$29</f>
        <v>3.82741116751269</v>
      </c>
      <c r="C34" s="23" t="s">
        <v>51</v>
      </c>
    </row>
    <row r="35" customFormat="false" ht="15" hidden="false" customHeight="false" outlineLevel="0" collapsed="false">
      <c r="A35" s="14" t="s">
        <v>52</v>
      </c>
      <c r="B35" s="19" t="n">
        <f aca="false">SUM(J60:J179)</f>
        <v>6.828</v>
      </c>
      <c r="C35" s="20" t="n">
        <v>6.83</v>
      </c>
    </row>
    <row r="36" customFormat="false" ht="15" hidden="false" customHeight="false" outlineLevel="0" collapsed="false">
      <c r="A36" s="14" t="s">
        <v>53</v>
      </c>
      <c r="B36" s="19" t="n">
        <f aca="false">SUM(D60:D179)</f>
        <v>1.6121</v>
      </c>
      <c r="C36" s="20" t="n">
        <v>1.61</v>
      </c>
    </row>
    <row r="37" customFormat="false" ht="15" hidden="false" customHeight="false" outlineLevel="0" collapsed="false">
      <c r="A37" s="14" t="s">
        <v>54</v>
      </c>
      <c r="B37" s="19" t="n">
        <f aca="false">SUM(K60:K179)</f>
        <v>1.1681</v>
      </c>
      <c r="C37" s="20" t="n">
        <v>1.17</v>
      </c>
    </row>
    <row r="38" customFormat="false" ht="15" hidden="false" customHeight="false" outlineLevel="0" collapsed="false">
      <c r="A38" s="14" t="s">
        <v>55</v>
      </c>
      <c r="B38" s="24" t="n">
        <f aca="false">1-$B$37/$B$32</f>
        <v>0.901175972927242</v>
      </c>
      <c r="C38" s="25" t="n">
        <v>0.9</v>
      </c>
    </row>
    <row r="39" customFormat="false" ht="15" hidden="false" customHeight="false" outlineLevel="0" collapsed="false">
      <c r="A39" s="14" t="s">
        <v>56</v>
      </c>
      <c r="B39" s="17" t="n">
        <f aca="false">SUM(I60:I179)</f>
        <v>2</v>
      </c>
      <c r="C39" s="18" t="n">
        <v>2</v>
      </c>
    </row>
    <row r="40" customFormat="false" ht="15" hidden="false" customHeight="false" outlineLevel="0" collapsed="false">
      <c r="A40" s="14" t="s">
        <v>57</v>
      </c>
      <c r="B40" s="19" t="n">
        <f aca="false">SUM(L60:L179)+$B$39*$B$15*$B$17/1000000</f>
        <v>0.155</v>
      </c>
      <c r="C40" s="20" t="n">
        <v>0.16</v>
      </c>
    </row>
    <row r="41" customFormat="false" ht="15" hidden="false" customHeight="false" outlineLevel="0" collapsed="false">
      <c r="A41" s="14" t="s">
        <v>58</v>
      </c>
      <c r="B41" s="19" t="n">
        <f aca="false">SUM(L60:L179)+$B$39*$B$16*$B$17/1000000</f>
        <v>0.355</v>
      </c>
      <c r="C41" s="20" t="n">
        <v>0.36</v>
      </c>
    </row>
    <row r="42" customFormat="false" ht="15" hidden="false" customHeight="false" outlineLevel="0" collapsed="false">
      <c r="A42" s="14" t="s">
        <v>59</v>
      </c>
      <c r="B42" s="19" t="n">
        <f aca="false">SUM(E60:E179)</f>
        <v>3.1163</v>
      </c>
      <c r="C42" s="20" t="n">
        <v>3.12</v>
      </c>
    </row>
    <row r="43" customFormat="false" ht="15" hidden="false" customHeight="false" outlineLevel="0" collapsed="false">
      <c r="A43" s="14" t="s">
        <v>60</v>
      </c>
      <c r="B43" s="19" t="n">
        <f aca="false">SUM(F60:F179)</f>
        <v>1.0398</v>
      </c>
      <c r="C43" s="20" t="n">
        <v>1.04</v>
      </c>
    </row>
    <row r="44" customFormat="false" ht="15" hidden="false" customHeight="false" outlineLevel="0" collapsed="false">
      <c r="A44" s="14" t="s">
        <v>61</v>
      </c>
      <c r="B44" s="19" t="n">
        <f aca="false">SUM(G60:G179)</f>
        <v>13.6894</v>
      </c>
      <c r="C44" s="20" t="n">
        <v>13.69</v>
      </c>
    </row>
    <row r="45" customFormat="false" ht="15" hidden="false" customHeight="false" outlineLevel="0" collapsed="false">
      <c r="A45" s="14" t="s">
        <v>62</v>
      </c>
      <c r="B45" s="15" t="n">
        <f aca="false">$B$20+$B$21+$B$22</f>
        <v>10000</v>
      </c>
      <c r="C45" s="16" t="n">
        <v>10000</v>
      </c>
    </row>
    <row r="46" customFormat="false" ht="15" hidden="false" customHeight="false" outlineLevel="0" collapsed="false">
      <c r="A46" s="14" t="s">
        <v>63</v>
      </c>
      <c r="B46" s="15" t="n">
        <f aca="false">$B$45+$B$23+$B$24</f>
        <v>116000</v>
      </c>
      <c r="C46" s="16" t="n">
        <v>116000</v>
      </c>
    </row>
    <row r="47" customFormat="false" ht="15" hidden="false" customHeight="false" outlineLevel="0" collapsed="false">
      <c r="A47" s="14" t="s">
        <v>64</v>
      </c>
      <c r="B47" s="14" t="str">
        <f aca="false">IF($B$46&lt;=$B$10,"yes","no")</f>
        <v>yes</v>
      </c>
      <c r="C47" s="23" t="s">
        <v>65</v>
      </c>
    </row>
    <row r="48" customFormat="false" ht="15" hidden="false" customHeight="false" outlineLevel="0" collapsed="false">
      <c r="A48" s="14" t="s">
        <v>66</v>
      </c>
      <c r="B48" s="14" t="str">
        <f aca="false">IF(AND($B$5&gt;=1,$B$5&lt;=120,$B$5=INT($B$5)),"OK","invalid: enter 1–120 calls")</f>
        <v>OK</v>
      </c>
    </row>
    <row r="50" customFormat="false" ht="15" hidden="false" customHeight="false" outlineLevel="0" collapsed="false">
      <c r="A50" s="26" t="s">
        <v>67</v>
      </c>
    </row>
    <row r="51" customFormat="false" ht="15" hidden="false" customHeight="false" outlineLevel="0" collapsed="false">
      <c r="A51" s="26" t="s">
        <v>68</v>
      </c>
    </row>
    <row r="52" customFormat="false" ht="15" hidden="false" customHeight="false" outlineLevel="0" collapsed="false">
      <c r="A52" s="26" t="s">
        <v>69</v>
      </c>
    </row>
    <row r="58" customFormat="false" ht="15" hidden="false" customHeight="false" outlineLevel="0" collapsed="false">
      <c r="A58" s="4" t="s">
        <v>70</v>
      </c>
    </row>
    <row r="59" customFormat="false" ht="54" hidden="false" customHeight="true" outlineLevel="0" collapsed="false">
      <c r="A59" s="13" t="s">
        <v>71</v>
      </c>
      <c r="B59" s="13" t="s">
        <v>72</v>
      </c>
      <c r="C59" s="13" t="s">
        <v>73</v>
      </c>
      <c r="D59" s="13" t="s">
        <v>74</v>
      </c>
      <c r="E59" s="13" t="s">
        <v>75</v>
      </c>
      <c r="F59" s="13" t="s">
        <v>76</v>
      </c>
      <c r="G59" s="13" t="s">
        <v>77</v>
      </c>
      <c r="H59" s="13" t="s">
        <v>78</v>
      </c>
      <c r="I59" s="13" t="s">
        <v>79</v>
      </c>
      <c r="J59" s="13" t="s">
        <v>80</v>
      </c>
      <c r="K59" s="13" t="s">
        <v>81</v>
      </c>
      <c r="L59" s="13" t="s">
        <v>82</v>
      </c>
      <c r="M59" s="13" t="s">
        <v>83</v>
      </c>
      <c r="N59" s="13" t="s">
        <v>84</v>
      </c>
      <c r="O59" s="13" t="s">
        <v>85</v>
      </c>
      <c r="P59" s="13" t="s">
        <v>86</v>
      </c>
    </row>
    <row r="60" customFormat="false" ht="15" hidden="false" customHeight="false" outlineLevel="0" collapsed="false">
      <c r="A60" s="27" t="n">
        <v>1</v>
      </c>
      <c r="B60" s="28" t="n">
        <f aca="false">IF($A60&gt;$B$5,"",$B$3+$B$4*($A60-1))</f>
        <v>10000</v>
      </c>
      <c r="C60" s="29" t="n">
        <f aca="false">IF($A60&gt;$B$5,"",B60*$B$6/1000000)</f>
        <v>0.02</v>
      </c>
      <c r="D60" s="29" t="n">
        <f aca="false">IF($A60&gt;$B$5,"",B60*$B$7*$B$6/1000000)</f>
        <v>0.025</v>
      </c>
      <c r="E60" s="29" t="n">
        <f aca="false">IF($A60&gt;$B$5,"",B60*$B$7*$B$6/1000000)</f>
        <v>0.025</v>
      </c>
      <c r="F60" s="29" t="n">
        <f aca="false">IF($A60&gt;$B$5,"",B60*$B$7*$B$6/1000000)</f>
        <v>0.025</v>
      </c>
      <c r="G60" s="29" t="n">
        <f aca="false">IF($A60&gt;$B$5,"",B60*$B$7*$B$6/1000000)</f>
        <v>0.025</v>
      </c>
      <c r="H60" s="28" t="n">
        <f aca="false">IF($A60&gt;$B$5,"",$B$3)</f>
        <v>10000</v>
      </c>
      <c r="I60" s="27" t="n">
        <f aca="false">IF($A60&gt;$B$5,"",0)</f>
        <v>0</v>
      </c>
      <c r="J60" s="29" t="n">
        <f aca="false">IF($A60&gt;$B$5,"",H60*$B$6/1000000)</f>
        <v>0.02</v>
      </c>
      <c r="K60" s="29" t="n">
        <f aca="false">IF($A60&gt;$B$5,"",H60*$B$7*$B$6/1000000)</f>
        <v>0.025</v>
      </c>
      <c r="L60" s="29" t="n">
        <f aca="false">IF($A60&gt;$B$5,"",0)</f>
        <v>0</v>
      </c>
      <c r="M60" s="30" t="n">
        <f aca="false">IF($A60&gt;$B$5,"",SUM(C$60:C60))</f>
        <v>0.02</v>
      </c>
      <c r="N60" s="30" t="n">
        <f aca="false">IF($A60&gt;$B$5,"",SUM(J$60:J60))</f>
        <v>0.02</v>
      </c>
      <c r="O60" s="30" t="n">
        <f aca="false">IF($A60&gt;$B$5,"",SUM(D$60:D60))</f>
        <v>0.025</v>
      </c>
      <c r="P60" s="30" t="n">
        <f aca="false">IF($A60&gt;$B$5,"",SUM(K$60:K60))</f>
        <v>0.025</v>
      </c>
    </row>
    <row r="61" customFormat="false" ht="15" hidden="false" customHeight="false" outlineLevel="0" collapsed="false">
      <c r="A61" s="27" t="n">
        <f aca="false">A60+1</f>
        <v>2</v>
      </c>
      <c r="B61" s="28" t="n">
        <f aca="false">IF($A61&gt;$B$5,"",$B$3+$B$4*($A61-1))</f>
        <v>13000</v>
      </c>
      <c r="C61" s="29" t="n">
        <f aca="false">IF($A61&gt;$B$5,"",B61*$B$6/1000000)</f>
        <v>0.026</v>
      </c>
      <c r="D61" s="29" t="n">
        <f aca="false">IF($A61&gt;$B$5,"",(B60*$B$8+(B61-B60)*$B$7)*$B$6/1000000)</f>
        <v>0.0095</v>
      </c>
      <c r="E61" s="29" t="n">
        <f aca="false">IF($A61&gt;$B$5,"",IF(MOD($A61,$B$13)=0,B61*$B$7,B60*$B$8+(B61-B60)*$B$7)*$B$6/1000000)</f>
        <v>0.0095</v>
      </c>
      <c r="F61" s="29" t="n">
        <f aca="false">IF($A61&gt;$B$5,"",(B60*$B$9+(B61-B60)*$B$7)*$B$6/1000000)</f>
        <v>0.0085</v>
      </c>
      <c r="G61" s="29" t="n">
        <f aca="false">IF($A61&gt;$B$5,"",(($B$3-$B$14)*$B$8+(B61-($B$3-$B$14))*$B$7)*$B$6/1000000)</f>
        <v>0.0141</v>
      </c>
      <c r="H61" s="28" t="n">
        <f aca="false">IF($A61&gt;$B$5,"",IF(H60+$B$4&gt;$B$11,$B$12,H60+$B$4))</f>
        <v>13000</v>
      </c>
      <c r="I61" s="27" t="n">
        <f aca="false">IF($A61&gt;$B$5,"",IF(H60+$B$4&gt;$B$11,1,0))</f>
        <v>0</v>
      </c>
      <c r="J61" s="29" t="n">
        <f aca="false">IF($A61&gt;$B$5,"",H61*$B$6/1000000)</f>
        <v>0.026</v>
      </c>
      <c r="K61" s="29" t="n">
        <f aca="false">IF($A61&gt;$B$5,"",IF(I61=1,$B$3*$B$8+(H61-$B$3)*$B$7,H60*$B$8+(H61-H60)*$B$7)*$B$6/1000000)</f>
        <v>0.0095</v>
      </c>
      <c r="L61" s="29" t="n">
        <f aca="false">IF($A61&gt;$B$5,"",IF(I61=1,(H60*$B$8+$B$4*$B$7)*$B$6/1000000,0))</f>
        <v>0</v>
      </c>
      <c r="M61" s="30" t="n">
        <f aca="false">IF($A61&gt;$B$5,"",SUM(C$60:C61))</f>
        <v>0.046</v>
      </c>
      <c r="N61" s="30" t="n">
        <f aca="false">IF($A61&gt;$B$5,"",SUM(J$60:J61))</f>
        <v>0.046</v>
      </c>
      <c r="O61" s="30" t="n">
        <f aca="false">IF($A61&gt;$B$5,"",SUM(D$60:D61))</f>
        <v>0.0345</v>
      </c>
      <c r="P61" s="30" t="n">
        <f aca="false">IF($A61&gt;$B$5,"",SUM(K$60:K61))</f>
        <v>0.0345</v>
      </c>
    </row>
    <row r="62" customFormat="false" ht="15" hidden="false" customHeight="false" outlineLevel="0" collapsed="false">
      <c r="A62" s="27" t="n">
        <f aca="false">A61+1</f>
        <v>3</v>
      </c>
      <c r="B62" s="28" t="n">
        <f aca="false">IF($A62&gt;$B$5,"",$B$3+$B$4*($A62-1))</f>
        <v>16000</v>
      </c>
      <c r="C62" s="29" t="n">
        <f aca="false">IF($A62&gt;$B$5,"",B62*$B$6/1000000)</f>
        <v>0.032</v>
      </c>
      <c r="D62" s="29" t="n">
        <f aca="false">IF($A62&gt;$B$5,"",(B61*$B$8+(B62-B61)*$B$7)*$B$6/1000000)</f>
        <v>0.0101</v>
      </c>
      <c r="E62" s="29" t="n">
        <f aca="false">IF($A62&gt;$B$5,"",IF(MOD($A62,$B$13)=0,B62*$B$7,B61*$B$8+(B62-B61)*$B$7)*$B$6/1000000)</f>
        <v>0.0101</v>
      </c>
      <c r="F62" s="29" t="n">
        <f aca="false">IF($A62&gt;$B$5,"",(B61*$B$9+(B62-B61)*$B$7)*$B$6/1000000)</f>
        <v>0.0088</v>
      </c>
      <c r="G62" s="29" t="n">
        <f aca="false">IF($A62&gt;$B$5,"",(($B$3-$B$14)*$B$8+(B62-($B$3-$B$14))*$B$7)*$B$6/1000000)</f>
        <v>0.0216</v>
      </c>
      <c r="H62" s="28" t="n">
        <f aca="false">IF($A62&gt;$B$5,"",IF(H61+$B$4&gt;$B$11,$B$12,H61+$B$4))</f>
        <v>16000</v>
      </c>
      <c r="I62" s="27" t="n">
        <f aca="false">IF($A62&gt;$B$5,"",IF(H61+$B$4&gt;$B$11,1,0))</f>
        <v>0</v>
      </c>
      <c r="J62" s="29" t="n">
        <f aca="false">IF($A62&gt;$B$5,"",H62*$B$6/1000000)</f>
        <v>0.032</v>
      </c>
      <c r="K62" s="29" t="n">
        <f aca="false">IF($A62&gt;$B$5,"",IF(I62=1,$B$3*$B$8+(H62-$B$3)*$B$7,H61*$B$8+(H62-H61)*$B$7)*$B$6/1000000)</f>
        <v>0.0101</v>
      </c>
      <c r="L62" s="29" t="n">
        <f aca="false">IF($A62&gt;$B$5,"",IF(I62=1,(H61*$B$8+$B$4*$B$7)*$B$6/1000000,0))</f>
        <v>0</v>
      </c>
      <c r="M62" s="30" t="n">
        <f aca="false">IF($A62&gt;$B$5,"",SUM(C$60:C62))</f>
        <v>0.078</v>
      </c>
      <c r="N62" s="30" t="n">
        <f aca="false">IF($A62&gt;$B$5,"",SUM(J$60:J62))</f>
        <v>0.078</v>
      </c>
      <c r="O62" s="30" t="n">
        <f aca="false">IF($A62&gt;$B$5,"",SUM(D$60:D62))</f>
        <v>0.0446</v>
      </c>
      <c r="P62" s="30" t="n">
        <f aca="false">IF($A62&gt;$B$5,"",SUM(K$60:K62))</f>
        <v>0.0446</v>
      </c>
    </row>
    <row r="63" customFormat="false" ht="15" hidden="false" customHeight="false" outlineLevel="0" collapsed="false">
      <c r="A63" s="27" t="n">
        <f aca="false">A62+1</f>
        <v>4</v>
      </c>
      <c r="B63" s="28" t="n">
        <f aca="false">IF($A63&gt;$B$5,"",$B$3+$B$4*($A63-1))</f>
        <v>19000</v>
      </c>
      <c r="C63" s="29" t="n">
        <f aca="false">IF($A63&gt;$B$5,"",B63*$B$6/1000000)</f>
        <v>0.038</v>
      </c>
      <c r="D63" s="29" t="n">
        <f aca="false">IF($A63&gt;$B$5,"",(B62*$B$8+(B63-B62)*$B$7)*$B$6/1000000)</f>
        <v>0.0107</v>
      </c>
      <c r="E63" s="29" t="n">
        <f aca="false">IF($A63&gt;$B$5,"",IF(MOD($A63,$B$13)=0,B63*$B$7,B62*$B$8+(B63-B62)*$B$7)*$B$6/1000000)</f>
        <v>0.0107</v>
      </c>
      <c r="F63" s="29" t="n">
        <f aca="false">IF($A63&gt;$B$5,"",(B62*$B$9+(B63-B62)*$B$7)*$B$6/1000000)</f>
        <v>0.0091</v>
      </c>
      <c r="G63" s="29" t="n">
        <f aca="false">IF($A63&gt;$B$5,"",(($B$3-$B$14)*$B$8+(B63-($B$3-$B$14))*$B$7)*$B$6/1000000)</f>
        <v>0.0291</v>
      </c>
      <c r="H63" s="28" t="n">
        <f aca="false">IF($A63&gt;$B$5,"",IF(H62+$B$4&gt;$B$11,$B$12,H62+$B$4))</f>
        <v>19000</v>
      </c>
      <c r="I63" s="27" t="n">
        <f aca="false">IF($A63&gt;$B$5,"",IF(H62+$B$4&gt;$B$11,1,0))</f>
        <v>0</v>
      </c>
      <c r="J63" s="29" t="n">
        <f aca="false">IF($A63&gt;$B$5,"",H63*$B$6/1000000)</f>
        <v>0.038</v>
      </c>
      <c r="K63" s="29" t="n">
        <f aca="false">IF($A63&gt;$B$5,"",IF(I63=1,$B$3*$B$8+(H63-$B$3)*$B$7,H62*$B$8+(H63-H62)*$B$7)*$B$6/1000000)</f>
        <v>0.0107</v>
      </c>
      <c r="L63" s="29" t="n">
        <f aca="false">IF($A63&gt;$B$5,"",IF(I63=1,(H62*$B$8+$B$4*$B$7)*$B$6/1000000,0))</f>
        <v>0</v>
      </c>
      <c r="M63" s="30" t="n">
        <f aca="false">IF($A63&gt;$B$5,"",SUM(C$60:C63))</f>
        <v>0.116</v>
      </c>
      <c r="N63" s="30" t="n">
        <f aca="false">IF($A63&gt;$B$5,"",SUM(J$60:J63))</f>
        <v>0.116</v>
      </c>
      <c r="O63" s="30" t="n">
        <f aca="false">IF($A63&gt;$B$5,"",SUM(D$60:D63))</f>
        <v>0.0553</v>
      </c>
      <c r="P63" s="30" t="n">
        <f aca="false">IF($A63&gt;$B$5,"",SUM(K$60:K63))</f>
        <v>0.0553</v>
      </c>
    </row>
    <row r="64" customFormat="false" ht="15" hidden="false" customHeight="false" outlineLevel="0" collapsed="false">
      <c r="A64" s="27" t="n">
        <f aca="false">A63+1</f>
        <v>5</v>
      </c>
      <c r="B64" s="28" t="n">
        <f aca="false">IF($A64&gt;$B$5,"",$B$3+$B$4*($A64-1))</f>
        <v>22000</v>
      </c>
      <c r="C64" s="29" t="n">
        <f aca="false">IF($A64&gt;$B$5,"",B64*$B$6/1000000)</f>
        <v>0.044</v>
      </c>
      <c r="D64" s="29" t="n">
        <f aca="false">IF($A64&gt;$B$5,"",(B63*$B$8+(B64-B63)*$B$7)*$B$6/1000000)</f>
        <v>0.0113</v>
      </c>
      <c r="E64" s="29" t="n">
        <f aca="false">IF($A64&gt;$B$5,"",IF(MOD($A64,$B$13)=0,B64*$B$7,B63*$B$8+(B64-B63)*$B$7)*$B$6/1000000)</f>
        <v>0.0113</v>
      </c>
      <c r="F64" s="29" t="n">
        <f aca="false">IF($A64&gt;$B$5,"",(B63*$B$9+(B64-B63)*$B$7)*$B$6/1000000)</f>
        <v>0.0094</v>
      </c>
      <c r="G64" s="29" t="n">
        <f aca="false">IF($A64&gt;$B$5,"",(($B$3-$B$14)*$B$8+(B64-($B$3-$B$14))*$B$7)*$B$6/1000000)</f>
        <v>0.0366</v>
      </c>
      <c r="H64" s="28" t="n">
        <f aca="false">IF($A64&gt;$B$5,"",IF(H63+$B$4&gt;$B$11,$B$12,H63+$B$4))</f>
        <v>22000</v>
      </c>
      <c r="I64" s="27" t="n">
        <f aca="false">IF($A64&gt;$B$5,"",IF(H63+$B$4&gt;$B$11,1,0))</f>
        <v>0</v>
      </c>
      <c r="J64" s="29" t="n">
        <f aca="false">IF($A64&gt;$B$5,"",H64*$B$6/1000000)</f>
        <v>0.044</v>
      </c>
      <c r="K64" s="29" t="n">
        <f aca="false">IF($A64&gt;$B$5,"",IF(I64=1,$B$3*$B$8+(H64-$B$3)*$B$7,H63*$B$8+(H64-H63)*$B$7)*$B$6/1000000)</f>
        <v>0.0113</v>
      </c>
      <c r="L64" s="29" t="n">
        <f aca="false">IF($A64&gt;$B$5,"",IF(I64=1,(H63*$B$8+$B$4*$B$7)*$B$6/1000000,0))</f>
        <v>0</v>
      </c>
      <c r="M64" s="30" t="n">
        <f aca="false">IF($A64&gt;$B$5,"",SUM(C$60:C64))</f>
        <v>0.16</v>
      </c>
      <c r="N64" s="30" t="n">
        <f aca="false">IF($A64&gt;$B$5,"",SUM(J$60:J64))</f>
        <v>0.16</v>
      </c>
      <c r="O64" s="30" t="n">
        <f aca="false">IF($A64&gt;$B$5,"",SUM(D$60:D64))</f>
        <v>0.0666</v>
      </c>
      <c r="P64" s="30" t="n">
        <f aca="false">IF($A64&gt;$B$5,"",SUM(K$60:K64))</f>
        <v>0.0666</v>
      </c>
    </row>
    <row r="65" customFormat="false" ht="15" hidden="false" customHeight="false" outlineLevel="0" collapsed="false">
      <c r="A65" s="27" t="n">
        <f aca="false">A64+1</f>
        <v>6</v>
      </c>
      <c r="B65" s="28" t="n">
        <f aca="false">IF($A65&gt;$B$5,"",$B$3+$B$4*($A65-1))</f>
        <v>25000</v>
      </c>
      <c r="C65" s="29" t="n">
        <f aca="false">IF($A65&gt;$B$5,"",B65*$B$6/1000000)</f>
        <v>0.05</v>
      </c>
      <c r="D65" s="29" t="n">
        <f aca="false">IF($A65&gt;$B$5,"",(B64*$B$8+(B65-B64)*$B$7)*$B$6/1000000)</f>
        <v>0.0119</v>
      </c>
      <c r="E65" s="29" t="n">
        <f aca="false">IF($A65&gt;$B$5,"",IF(MOD($A65,$B$13)=0,B65*$B$7,B64*$B$8+(B65-B64)*$B$7)*$B$6/1000000)</f>
        <v>0.0119</v>
      </c>
      <c r="F65" s="29" t="n">
        <f aca="false">IF($A65&gt;$B$5,"",(B64*$B$9+(B65-B64)*$B$7)*$B$6/1000000)</f>
        <v>0.0097</v>
      </c>
      <c r="G65" s="29" t="n">
        <f aca="false">IF($A65&gt;$B$5,"",(($B$3-$B$14)*$B$8+(B65-($B$3-$B$14))*$B$7)*$B$6/1000000)</f>
        <v>0.0441</v>
      </c>
      <c r="H65" s="28" t="n">
        <f aca="false">IF($A65&gt;$B$5,"",IF(H64+$B$4&gt;$B$11,$B$12,H64+$B$4))</f>
        <v>25000</v>
      </c>
      <c r="I65" s="27" t="n">
        <f aca="false">IF($A65&gt;$B$5,"",IF(H64+$B$4&gt;$B$11,1,0))</f>
        <v>0</v>
      </c>
      <c r="J65" s="29" t="n">
        <f aca="false">IF($A65&gt;$B$5,"",H65*$B$6/1000000)</f>
        <v>0.05</v>
      </c>
      <c r="K65" s="29" t="n">
        <f aca="false">IF($A65&gt;$B$5,"",IF(I65=1,$B$3*$B$8+(H65-$B$3)*$B$7,H64*$B$8+(H65-H64)*$B$7)*$B$6/1000000)</f>
        <v>0.0119</v>
      </c>
      <c r="L65" s="29" t="n">
        <f aca="false">IF($A65&gt;$B$5,"",IF(I65=1,(H64*$B$8+$B$4*$B$7)*$B$6/1000000,0))</f>
        <v>0</v>
      </c>
      <c r="M65" s="30" t="n">
        <f aca="false">IF($A65&gt;$B$5,"",SUM(C$60:C65))</f>
        <v>0.21</v>
      </c>
      <c r="N65" s="30" t="n">
        <f aca="false">IF($A65&gt;$B$5,"",SUM(J$60:J65))</f>
        <v>0.21</v>
      </c>
      <c r="O65" s="30" t="n">
        <f aca="false">IF($A65&gt;$B$5,"",SUM(D$60:D65))</f>
        <v>0.0785</v>
      </c>
      <c r="P65" s="30" t="n">
        <f aca="false">IF($A65&gt;$B$5,"",SUM(K$60:K65))</f>
        <v>0.0785</v>
      </c>
    </row>
    <row r="66" customFormat="false" ht="15" hidden="false" customHeight="false" outlineLevel="0" collapsed="false">
      <c r="A66" s="27" t="n">
        <f aca="false">A65+1</f>
        <v>7</v>
      </c>
      <c r="B66" s="28" t="n">
        <f aca="false">IF($A66&gt;$B$5,"",$B$3+$B$4*($A66-1))</f>
        <v>28000</v>
      </c>
      <c r="C66" s="29" t="n">
        <f aca="false">IF($A66&gt;$B$5,"",B66*$B$6/1000000)</f>
        <v>0.056</v>
      </c>
      <c r="D66" s="29" t="n">
        <f aca="false">IF($A66&gt;$B$5,"",(B65*$B$8+(B66-B65)*$B$7)*$B$6/1000000)</f>
        <v>0.0125</v>
      </c>
      <c r="E66" s="29" t="n">
        <f aca="false">IF($A66&gt;$B$5,"",IF(MOD($A66,$B$13)=0,B66*$B$7,B65*$B$8+(B66-B65)*$B$7)*$B$6/1000000)</f>
        <v>0.0125</v>
      </c>
      <c r="F66" s="29" t="n">
        <f aca="false">IF($A66&gt;$B$5,"",(B65*$B$9+(B66-B65)*$B$7)*$B$6/1000000)</f>
        <v>0.01</v>
      </c>
      <c r="G66" s="29" t="n">
        <f aca="false">IF($A66&gt;$B$5,"",(($B$3-$B$14)*$B$8+(B66-($B$3-$B$14))*$B$7)*$B$6/1000000)</f>
        <v>0.0516</v>
      </c>
      <c r="H66" s="28" t="n">
        <f aca="false">IF($A66&gt;$B$5,"",IF(H65+$B$4&gt;$B$11,$B$12,H65+$B$4))</f>
        <v>28000</v>
      </c>
      <c r="I66" s="27" t="n">
        <f aca="false">IF($A66&gt;$B$5,"",IF(H65+$B$4&gt;$B$11,1,0))</f>
        <v>0</v>
      </c>
      <c r="J66" s="29" t="n">
        <f aca="false">IF($A66&gt;$B$5,"",H66*$B$6/1000000)</f>
        <v>0.056</v>
      </c>
      <c r="K66" s="29" t="n">
        <f aca="false">IF($A66&gt;$B$5,"",IF(I66=1,$B$3*$B$8+(H66-$B$3)*$B$7,H65*$B$8+(H66-H65)*$B$7)*$B$6/1000000)</f>
        <v>0.0125</v>
      </c>
      <c r="L66" s="29" t="n">
        <f aca="false">IF($A66&gt;$B$5,"",IF(I66=1,(H65*$B$8+$B$4*$B$7)*$B$6/1000000,0))</f>
        <v>0</v>
      </c>
      <c r="M66" s="30" t="n">
        <f aca="false">IF($A66&gt;$B$5,"",SUM(C$60:C66))</f>
        <v>0.266</v>
      </c>
      <c r="N66" s="30" t="n">
        <f aca="false">IF($A66&gt;$B$5,"",SUM(J$60:J66))</f>
        <v>0.266</v>
      </c>
      <c r="O66" s="30" t="n">
        <f aca="false">IF($A66&gt;$B$5,"",SUM(D$60:D66))</f>
        <v>0.091</v>
      </c>
      <c r="P66" s="30" t="n">
        <f aca="false">IF($A66&gt;$B$5,"",SUM(K$60:K66))</f>
        <v>0.091</v>
      </c>
    </row>
    <row r="67" customFormat="false" ht="15" hidden="false" customHeight="false" outlineLevel="0" collapsed="false">
      <c r="A67" s="27" t="n">
        <f aca="false">A66+1</f>
        <v>8</v>
      </c>
      <c r="B67" s="28" t="n">
        <f aca="false">IF($A67&gt;$B$5,"",$B$3+$B$4*($A67-1))</f>
        <v>31000</v>
      </c>
      <c r="C67" s="29" t="n">
        <f aca="false">IF($A67&gt;$B$5,"",B67*$B$6/1000000)</f>
        <v>0.062</v>
      </c>
      <c r="D67" s="29" t="n">
        <f aca="false">IF($A67&gt;$B$5,"",(B66*$B$8+(B67-B66)*$B$7)*$B$6/1000000)</f>
        <v>0.0131</v>
      </c>
      <c r="E67" s="29" t="n">
        <f aca="false">IF($A67&gt;$B$5,"",IF(MOD($A67,$B$13)=0,B67*$B$7,B66*$B$8+(B67-B66)*$B$7)*$B$6/1000000)</f>
        <v>0.0131</v>
      </c>
      <c r="F67" s="29" t="n">
        <f aca="false">IF($A67&gt;$B$5,"",(B66*$B$9+(B67-B66)*$B$7)*$B$6/1000000)</f>
        <v>0.0103</v>
      </c>
      <c r="G67" s="29" t="n">
        <f aca="false">IF($A67&gt;$B$5,"",(($B$3-$B$14)*$B$8+(B67-($B$3-$B$14))*$B$7)*$B$6/1000000)</f>
        <v>0.0591</v>
      </c>
      <c r="H67" s="28" t="n">
        <f aca="false">IF($A67&gt;$B$5,"",IF(H66+$B$4&gt;$B$11,$B$12,H66+$B$4))</f>
        <v>31000</v>
      </c>
      <c r="I67" s="27" t="n">
        <f aca="false">IF($A67&gt;$B$5,"",IF(H66+$B$4&gt;$B$11,1,0))</f>
        <v>0</v>
      </c>
      <c r="J67" s="29" t="n">
        <f aca="false">IF($A67&gt;$B$5,"",H67*$B$6/1000000)</f>
        <v>0.062</v>
      </c>
      <c r="K67" s="29" t="n">
        <f aca="false">IF($A67&gt;$B$5,"",IF(I67=1,$B$3*$B$8+(H67-$B$3)*$B$7,H66*$B$8+(H67-H66)*$B$7)*$B$6/1000000)</f>
        <v>0.0131</v>
      </c>
      <c r="L67" s="29" t="n">
        <f aca="false">IF($A67&gt;$B$5,"",IF(I67=1,(H66*$B$8+$B$4*$B$7)*$B$6/1000000,0))</f>
        <v>0</v>
      </c>
      <c r="M67" s="30" t="n">
        <f aca="false">IF($A67&gt;$B$5,"",SUM(C$60:C67))</f>
        <v>0.328</v>
      </c>
      <c r="N67" s="30" t="n">
        <f aca="false">IF($A67&gt;$B$5,"",SUM(J$60:J67))</f>
        <v>0.328</v>
      </c>
      <c r="O67" s="30" t="n">
        <f aca="false">IF($A67&gt;$B$5,"",SUM(D$60:D67))</f>
        <v>0.1041</v>
      </c>
      <c r="P67" s="30" t="n">
        <f aca="false">IF($A67&gt;$B$5,"",SUM(K$60:K67))</f>
        <v>0.1041</v>
      </c>
    </row>
    <row r="68" customFormat="false" ht="15" hidden="false" customHeight="false" outlineLevel="0" collapsed="false">
      <c r="A68" s="27" t="n">
        <f aca="false">A67+1</f>
        <v>9</v>
      </c>
      <c r="B68" s="28" t="n">
        <f aca="false">IF($A68&gt;$B$5,"",$B$3+$B$4*($A68-1))</f>
        <v>34000</v>
      </c>
      <c r="C68" s="29" t="n">
        <f aca="false">IF($A68&gt;$B$5,"",B68*$B$6/1000000)</f>
        <v>0.068</v>
      </c>
      <c r="D68" s="29" t="n">
        <f aca="false">IF($A68&gt;$B$5,"",(B67*$B$8+(B68-B67)*$B$7)*$B$6/1000000)</f>
        <v>0.0137</v>
      </c>
      <c r="E68" s="29" t="n">
        <f aca="false">IF($A68&gt;$B$5,"",IF(MOD($A68,$B$13)=0,B68*$B$7,B67*$B$8+(B68-B67)*$B$7)*$B$6/1000000)</f>
        <v>0.0137</v>
      </c>
      <c r="F68" s="29" t="n">
        <f aca="false">IF($A68&gt;$B$5,"",(B67*$B$9+(B68-B67)*$B$7)*$B$6/1000000)</f>
        <v>0.0106</v>
      </c>
      <c r="G68" s="29" t="n">
        <f aca="false">IF($A68&gt;$B$5,"",(($B$3-$B$14)*$B$8+(B68-($B$3-$B$14))*$B$7)*$B$6/1000000)</f>
        <v>0.0666</v>
      </c>
      <c r="H68" s="28" t="n">
        <f aca="false">IF($A68&gt;$B$5,"",IF(H67+$B$4&gt;$B$11,$B$12,H67+$B$4))</f>
        <v>34000</v>
      </c>
      <c r="I68" s="27" t="n">
        <f aca="false">IF($A68&gt;$B$5,"",IF(H67+$B$4&gt;$B$11,1,0))</f>
        <v>0</v>
      </c>
      <c r="J68" s="29" t="n">
        <f aca="false">IF($A68&gt;$B$5,"",H68*$B$6/1000000)</f>
        <v>0.068</v>
      </c>
      <c r="K68" s="29" t="n">
        <f aca="false">IF($A68&gt;$B$5,"",IF(I68=1,$B$3*$B$8+(H68-$B$3)*$B$7,H67*$B$8+(H68-H67)*$B$7)*$B$6/1000000)</f>
        <v>0.0137</v>
      </c>
      <c r="L68" s="29" t="n">
        <f aca="false">IF($A68&gt;$B$5,"",IF(I68=1,(H67*$B$8+$B$4*$B$7)*$B$6/1000000,0))</f>
        <v>0</v>
      </c>
      <c r="M68" s="30" t="n">
        <f aca="false">IF($A68&gt;$B$5,"",SUM(C$60:C68))</f>
        <v>0.396</v>
      </c>
      <c r="N68" s="30" t="n">
        <f aca="false">IF($A68&gt;$B$5,"",SUM(J$60:J68))</f>
        <v>0.396</v>
      </c>
      <c r="O68" s="30" t="n">
        <f aca="false">IF($A68&gt;$B$5,"",SUM(D$60:D68))</f>
        <v>0.1178</v>
      </c>
      <c r="P68" s="30" t="n">
        <f aca="false">IF($A68&gt;$B$5,"",SUM(K$60:K68))</f>
        <v>0.1178</v>
      </c>
    </row>
    <row r="69" customFormat="false" ht="15" hidden="false" customHeight="false" outlineLevel="0" collapsed="false">
      <c r="A69" s="27" t="n">
        <f aca="false">A68+1</f>
        <v>10</v>
      </c>
      <c r="B69" s="28" t="n">
        <f aca="false">IF($A69&gt;$B$5,"",$B$3+$B$4*($A69-1))</f>
        <v>37000</v>
      </c>
      <c r="C69" s="29" t="n">
        <f aca="false">IF($A69&gt;$B$5,"",B69*$B$6/1000000)</f>
        <v>0.074</v>
      </c>
      <c r="D69" s="29" t="n">
        <f aca="false">IF($A69&gt;$B$5,"",(B68*$B$8+(B69-B68)*$B$7)*$B$6/1000000)</f>
        <v>0.0143</v>
      </c>
      <c r="E69" s="29" t="n">
        <f aca="false">IF($A69&gt;$B$5,"",IF(MOD($A69,$B$13)=0,B69*$B$7,B68*$B$8+(B69-B68)*$B$7)*$B$6/1000000)</f>
        <v>0.0925</v>
      </c>
      <c r="F69" s="29" t="n">
        <f aca="false">IF($A69&gt;$B$5,"",(B68*$B$9+(B69-B68)*$B$7)*$B$6/1000000)</f>
        <v>0.0109</v>
      </c>
      <c r="G69" s="29" t="n">
        <f aca="false">IF($A69&gt;$B$5,"",(($B$3-$B$14)*$B$8+(B69-($B$3-$B$14))*$B$7)*$B$6/1000000)</f>
        <v>0.0741</v>
      </c>
      <c r="H69" s="28" t="n">
        <f aca="false">IF($A69&gt;$B$5,"",IF(H68+$B$4&gt;$B$11,$B$12,H68+$B$4))</f>
        <v>37000</v>
      </c>
      <c r="I69" s="27" t="n">
        <f aca="false">IF($A69&gt;$B$5,"",IF(H68+$B$4&gt;$B$11,1,0))</f>
        <v>0</v>
      </c>
      <c r="J69" s="29" t="n">
        <f aca="false">IF($A69&gt;$B$5,"",H69*$B$6/1000000)</f>
        <v>0.074</v>
      </c>
      <c r="K69" s="29" t="n">
        <f aca="false">IF($A69&gt;$B$5,"",IF(I69=1,$B$3*$B$8+(H69-$B$3)*$B$7,H68*$B$8+(H69-H68)*$B$7)*$B$6/1000000)</f>
        <v>0.0143</v>
      </c>
      <c r="L69" s="29" t="n">
        <f aca="false">IF($A69&gt;$B$5,"",IF(I69=1,(H68*$B$8+$B$4*$B$7)*$B$6/1000000,0))</f>
        <v>0</v>
      </c>
      <c r="M69" s="30" t="n">
        <f aca="false">IF($A69&gt;$B$5,"",SUM(C$60:C69))</f>
        <v>0.47</v>
      </c>
      <c r="N69" s="30" t="n">
        <f aca="false">IF($A69&gt;$B$5,"",SUM(J$60:J69))</f>
        <v>0.47</v>
      </c>
      <c r="O69" s="30" t="n">
        <f aca="false">IF($A69&gt;$B$5,"",SUM(D$60:D69))</f>
        <v>0.1321</v>
      </c>
      <c r="P69" s="30" t="n">
        <f aca="false">IF($A69&gt;$B$5,"",SUM(K$60:K69))</f>
        <v>0.1321</v>
      </c>
    </row>
    <row r="70" customFormat="false" ht="15" hidden="false" customHeight="false" outlineLevel="0" collapsed="false">
      <c r="A70" s="27" t="n">
        <f aca="false">A69+1</f>
        <v>11</v>
      </c>
      <c r="B70" s="28" t="n">
        <f aca="false">IF($A70&gt;$B$5,"",$B$3+$B$4*($A70-1))</f>
        <v>40000</v>
      </c>
      <c r="C70" s="29" t="n">
        <f aca="false">IF($A70&gt;$B$5,"",B70*$B$6/1000000)</f>
        <v>0.08</v>
      </c>
      <c r="D70" s="29" t="n">
        <f aca="false">IF($A70&gt;$B$5,"",(B69*$B$8+(B70-B69)*$B$7)*$B$6/1000000)</f>
        <v>0.0149</v>
      </c>
      <c r="E70" s="29" t="n">
        <f aca="false">IF($A70&gt;$B$5,"",IF(MOD($A70,$B$13)=0,B70*$B$7,B69*$B$8+(B70-B69)*$B$7)*$B$6/1000000)</f>
        <v>0.0149</v>
      </c>
      <c r="F70" s="29" t="n">
        <f aca="false">IF($A70&gt;$B$5,"",(B69*$B$9+(B70-B69)*$B$7)*$B$6/1000000)</f>
        <v>0.0112</v>
      </c>
      <c r="G70" s="29" t="n">
        <f aca="false">IF($A70&gt;$B$5,"",(($B$3-$B$14)*$B$8+(B70-($B$3-$B$14))*$B$7)*$B$6/1000000)</f>
        <v>0.0816</v>
      </c>
      <c r="H70" s="28" t="n">
        <f aca="false">IF($A70&gt;$B$5,"",IF(H69+$B$4&gt;$B$11,$B$12,H69+$B$4))</f>
        <v>40000</v>
      </c>
      <c r="I70" s="27" t="n">
        <f aca="false">IF($A70&gt;$B$5,"",IF(H69+$B$4&gt;$B$11,1,0))</f>
        <v>0</v>
      </c>
      <c r="J70" s="29" t="n">
        <f aca="false">IF($A70&gt;$B$5,"",H70*$B$6/1000000)</f>
        <v>0.08</v>
      </c>
      <c r="K70" s="29" t="n">
        <f aca="false">IF($A70&gt;$B$5,"",IF(I70=1,$B$3*$B$8+(H70-$B$3)*$B$7,H69*$B$8+(H70-H69)*$B$7)*$B$6/1000000)</f>
        <v>0.0149</v>
      </c>
      <c r="L70" s="29" t="n">
        <f aca="false">IF($A70&gt;$B$5,"",IF(I70=1,(H69*$B$8+$B$4*$B$7)*$B$6/1000000,0))</f>
        <v>0</v>
      </c>
      <c r="M70" s="30" t="n">
        <f aca="false">IF($A70&gt;$B$5,"",SUM(C$60:C70))</f>
        <v>0.55</v>
      </c>
      <c r="N70" s="30" t="n">
        <f aca="false">IF($A70&gt;$B$5,"",SUM(J$60:J70))</f>
        <v>0.55</v>
      </c>
      <c r="O70" s="30" t="n">
        <f aca="false">IF($A70&gt;$B$5,"",SUM(D$60:D70))</f>
        <v>0.147</v>
      </c>
      <c r="P70" s="30" t="n">
        <f aca="false">IF($A70&gt;$B$5,"",SUM(K$60:K70))</f>
        <v>0.147</v>
      </c>
    </row>
    <row r="71" customFormat="false" ht="15" hidden="false" customHeight="false" outlineLevel="0" collapsed="false">
      <c r="A71" s="27" t="n">
        <f aca="false">A70+1</f>
        <v>12</v>
      </c>
      <c r="B71" s="28" t="n">
        <f aca="false">IF($A71&gt;$B$5,"",$B$3+$B$4*($A71-1))</f>
        <v>43000</v>
      </c>
      <c r="C71" s="29" t="n">
        <f aca="false">IF($A71&gt;$B$5,"",B71*$B$6/1000000)</f>
        <v>0.086</v>
      </c>
      <c r="D71" s="29" t="n">
        <f aca="false">IF($A71&gt;$B$5,"",(B70*$B$8+(B71-B70)*$B$7)*$B$6/1000000)</f>
        <v>0.0155</v>
      </c>
      <c r="E71" s="29" t="n">
        <f aca="false">IF($A71&gt;$B$5,"",IF(MOD($A71,$B$13)=0,B71*$B$7,B70*$B$8+(B71-B70)*$B$7)*$B$6/1000000)</f>
        <v>0.0155</v>
      </c>
      <c r="F71" s="29" t="n">
        <f aca="false">IF($A71&gt;$B$5,"",(B70*$B$9+(B71-B70)*$B$7)*$B$6/1000000)</f>
        <v>0.0115</v>
      </c>
      <c r="G71" s="29" t="n">
        <f aca="false">IF($A71&gt;$B$5,"",(($B$3-$B$14)*$B$8+(B71-($B$3-$B$14))*$B$7)*$B$6/1000000)</f>
        <v>0.0891</v>
      </c>
      <c r="H71" s="28" t="n">
        <f aca="false">IF($A71&gt;$B$5,"",IF(H70+$B$4&gt;$B$11,$B$12,H70+$B$4))</f>
        <v>43000</v>
      </c>
      <c r="I71" s="27" t="n">
        <f aca="false">IF($A71&gt;$B$5,"",IF(H70+$B$4&gt;$B$11,1,0))</f>
        <v>0</v>
      </c>
      <c r="J71" s="29" t="n">
        <f aca="false">IF($A71&gt;$B$5,"",H71*$B$6/1000000)</f>
        <v>0.086</v>
      </c>
      <c r="K71" s="29" t="n">
        <f aca="false">IF($A71&gt;$B$5,"",IF(I71=1,$B$3*$B$8+(H71-$B$3)*$B$7,H70*$B$8+(H71-H70)*$B$7)*$B$6/1000000)</f>
        <v>0.0155</v>
      </c>
      <c r="L71" s="29" t="n">
        <f aca="false">IF($A71&gt;$B$5,"",IF(I71=1,(H70*$B$8+$B$4*$B$7)*$B$6/1000000,0))</f>
        <v>0</v>
      </c>
      <c r="M71" s="30" t="n">
        <f aca="false">IF($A71&gt;$B$5,"",SUM(C$60:C71))</f>
        <v>0.636</v>
      </c>
      <c r="N71" s="30" t="n">
        <f aca="false">IF($A71&gt;$B$5,"",SUM(J$60:J71))</f>
        <v>0.636</v>
      </c>
      <c r="O71" s="30" t="n">
        <f aca="false">IF($A71&gt;$B$5,"",SUM(D$60:D71))</f>
        <v>0.1625</v>
      </c>
      <c r="P71" s="30" t="n">
        <f aca="false">IF($A71&gt;$B$5,"",SUM(K$60:K71))</f>
        <v>0.1625</v>
      </c>
    </row>
    <row r="72" customFormat="false" ht="15" hidden="false" customHeight="false" outlineLevel="0" collapsed="false">
      <c r="A72" s="27" t="n">
        <f aca="false">A71+1</f>
        <v>13</v>
      </c>
      <c r="B72" s="28" t="n">
        <f aca="false">IF($A72&gt;$B$5,"",$B$3+$B$4*($A72-1))</f>
        <v>46000</v>
      </c>
      <c r="C72" s="29" t="n">
        <f aca="false">IF($A72&gt;$B$5,"",B72*$B$6/1000000)</f>
        <v>0.092</v>
      </c>
      <c r="D72" s="29" t="n">
        <f aca="false">IF($A72&gt;$B$5,"",(B71*$B$8+(B72-B71)*$B$7)*$B$6/1000000)</f>
        <v>0.0161</v>
      </c>
      <c r="E72" s="29" t="n">
        <f aca="false">IF($A72&gt;$B$5,"",IF(MOD($A72,$B$13)=0,B72*$B$7,B71*$B$8+(B72-B71)*$B$7)*$B$6/1000000)</f>
        <v>0.0161</v>
      </c>
      <c r="F72" s="29" t="n">
        <f aca="false">IF($A72&gt;$B$5,"",(B71*$B$9+(B72-B71)*$B$7)*$B$6/1000000)</f>
        <v>0.0118</v>
      </c>
      <c r="G72" s="29" t="n">
        <f aca="false">IF($A72&gt;$B$5,"",(($B$3-$B$14)*$B$8+(B72-($B$3-$B$14))*$B$7)*$B$6/1000000)</f>
        <v>0.0966</v>
      </c>
      <c r="H72" s="28" t="n">
        <f aca="false">IF($A72&gt;$B$5,"",IF(H71+$B$4&gt;$B$11,$B$12,H71+$B$4))</f>
        <v>46000</v>
      </c>
      <c r="I72" s="27" t="n">
        <f aca="false">IF($A72&gt;$B$5,"",IF(H71+$B$4&gt;$B$11,1,0))</f>
        <v>0</v>
      </c>
      <c r="J72" s="29" t="n">
        <f aca="false">IF($A72&gt;$B$5,"",H72*$B$6/1000000)</f>
        <v>0.092</v>
      </c>
      <c r="K72" s="29" t="n">
        <f aca="false">IF($A72&gt;$B$5,"",IF(I72=1,$B$3*$B$8+(H72-$B$3)*$B$7,H71*$B$8+(H72-H71)*$B$7)*$B$6/1000000)</f>
        <v>0.0161</v>
      </c>
      <c r="L72" s="29" t="n">
        <f aca="false">IF($A72&gt;$B$5,"",IF(I72=1,(H71*$B$8+$B$4*$B$7)*$B$6/1000000,0))</f>
        <v>0</v>
      </c>
      <c r="M72" s="30" t="n">
        <f aca="false">IF($A72&gt;$B$5,"",SUM(C$60:C72))</f>
        <v>0.728</v>
      </c>
      <c r="N72" s="30" t="n">
        <f aca="false">IF($A72&gt;$B$5,"",SUM(J$60:J72))</f>
        <v>0.728</v>
      </c>
      <c r="O72" s="30" t="n">
        <f aca="false">IF($A72&gt;$B$5,"",SUM(D$60:D72))</f>
        <v>0.1786</v>
      </c>
      <c r="P72" s="30" t="n">
        <f aca="false">IF($A72&gt;$B$5,"",SUM(K$60:K72))</f>
        <v>0.1786</v>
      </c>
    </row>
    <row r="73" customFormat="false" ht="15" hidden="false" customHeight="false" outlineLevel="0" collapsed="false">
      <c r="A73" s="27" t="n">
        <f aca="false">A72+1</f>
        <v>14</v>
      </c>
      <c r="B73" s="28" t="n">
        <f aca="false">IF($A73&gt;$B$5,"",$B$3+$B$4*($A73-1))</f>
        <v>49000</v>
      </c>
      <c r="C73" s="29" t="n">
        <f aca="false">IF($A73&gt;$B$5,"",B73*$B$6/1000000)</f>
        <v>0.098</v>
      </c>
      <c r="D73" s="29" t="n">
        <f aca="false">IF($A73&gt;$B$5,"",(B72*$B$8+(B73-B72)*$B$7)*$B$6/1000000)</f>
        <v>0.0167</v>
      </c>
      <c r="E73" s="29" t="n">
        <f aca="false">IF($A73&gt;$B$5,"",IF(MOD($A73,$B$13)=0,B73*$B$7,B72*$B$8+(B73-B72)*$B$7)*$B$6/1000000)</f>
        <v>0.0167</v>
      </c>
      <c r="F73" s="29" t="n">
        <f aca="false">IF($A73&gt;$B$5,"",(B72*$B$9+(B73-B72)*$B$7)*$B$6/1000000)</f>
        <v>0.0121</v>
      </c>
      <c r="G73" s="29" t="n">
        <f aca="false">IF($A73&gt;$B$5,"",(($B$3-$B$14)*$B$8+(B73-($B$3-$B$14))*$B$7)*$B$6/1000000)</f>
        <v>0.1041</v>
      </c>
      <c r="H73" s="28" t="n">
        <f aca="false">IF($A73&gt;$B$5,"",IF(H72+$B$4&gt;$B$11,$B$12,H72+$B$4))</f>
        <v>49000</v>
      </c>
      <c r="I73" s="27" t="n">
        <f aca="false">IF($A73&gt;$B$5,"",IF(H72+$B$4&gt;$B$11,1,0))</f>
        <v>0</v>
      </c>
      <c r="J73" s="29" t="n">
        <f aca="false">IF($A73&gt;$B$5,"",H73*$B$6/1000000)</f>
        <v>0.098</v>
      </c>
      <c r="K73" s="29" t="n">
        <f aca="false">IF($A73&gt;$B$5,"",IF(I73=1,$B$3*$B$8+(H73-$B$3)*$B$7,H72*$B$8+(H73-H72)*$B$7)*$B$6/1000000)</f>
        <v>0.0167</v>
      </c>
      <c r="L73" s="29" t="n">
        <f aca="false">IF($A73&gt;$B$5,"",IF(I73=1,(H72*$B$8+$B$4*$B$7)*$B$6/1000000,0))</f>
        <v>0</v>
      </c>
      <c r="M73" s="30" t="n">
        <f aca="false">IF($A73&gt;$B$5,"",SUM(C$60:C73))</f>
        <v>0.826</v>
      </c>
      <c r="N73" s="30" t="n">
        <f aca="false">IF($A73&gt;$B$5,"",SUM(J$60:J73))</f>
        <v>0.826</v>
      </c>
      <c r="O73" s="30" t="n">
        <f aca="false">IF($A73&gt;$B$5,"",SUM(D$60:D73))</f>
        <v>0.1953</v>
      </c>
      <c r="P73" s="30" t="n">
        <f aca="false">IF($A73&gt;$B$5,"",SUM(K$60:K73))</f>
        <v>0.1953</v>
      </c>
    </row>
    <row r="74" customFormat="false" ht="15" hidden="false" customHeight="false" outlineLevel="0" collapsed="false">
      <c r="A74" s="27" t="n">
        <f aca="false">A73+1</f>
        <v>15</v>
      </c>
      <c r="B74" s="28" t="n">
        <f aca="false">IF($A74&gt;$B$5,"",$B$3+$B$4*($A74-1))</f>
        <v>52000</v>
      </c>
      <c r="C74" s="29" t="n">
        <f aca="false">IF($A74&gt;$B$5,"",B74*$B$6/1000000)</f>
        <v>0.104</v>
      </c>
      <c r="D74" s="29" t="n">
        <f aca="false">IF($A74&gt;$B$5,"",(B73*$B$8+(B74-B73)*$B$7)*$B$6/1000000)</f>
        <v>0.0173</v>
      </c>
      <c r="E74" s="29" t="n">
        <f aca="false">IF($A74&gt;$B$5,"",IF(MOD($A74,$B$13)=0,B74*$B$7,B73*$B$8+(B74-B73)*$B$7)*$B$6/1000000)</f>
        <v>0.0173</v>
      </c>
      <c r="F74" s="29" t="n">
        <f aca="false">IF($A74&gt;$B$5,"",(B73*$B$9+(B74-B73)*$B$7)*$B$6/1000000)</f>
        <v>0.0124</v>
      </c>
      <c r="G74" s="29" t="n">
        <f aca="false">IF($A74&gt;$B$5,"",(($B$3-$B$14)*$B$8+(B74-($B$3-$B$14))*$B$7)*$B$6/1000000)</f>
        <v>0.1116</v>
      </c>
      <c r="H74" s="28" t="n">
        <f aca="false">IF($A74&gt;$B$5,"",IF(H73+$B$4&gt;$B$11,$B$12,H73+$B$4))</f>
        <v>52000</v>
      </c>
      <c r="I74" s="27" t="n">
        <f aca="false">IF($A74&gt;$B$5,"",IF(H73+$B$4&gt;$B$11,1,0))</f>
        <v>0</v>
      </c>
      <c r="J74" s="29" t="n">
        <f aca="false">IF($A74&gt;$B$5,"",H74*$B$6/1000000)</f>
        <v>0.104</v>
      </c>
      <c r="K74" s="29" t="n">
        <f aca="false">IF($A74&gt;$B$5,"",IF(I74=1,$B$3*$B$8+(H74-$B$3)*$B$7,H73*$B$8+(H74-H73)*$B$7)*$B$6/1000000)</f>
        <v>0.0173</v>
      </c>
      <c r="L74" s="29" t="n">
        <f aca="false">IF($A74&gt;$B$5,"",IF(I74=1,(H73*$B$8+$B$4*$B$7)*$B$6/1000000,0))</f>
        <v>0</v>
      </c>
      <c r="M74" s="30" t="n">
        <f aca="false">IF($A74&gt;$B$5,"",SUM(C$60:C74))</f>
        <v>0.93</v>
      </c>
      <c r="N74" s="30" t="n">
        <f aca="false">IF($A74&gt;$B$5,"",SUM(J$60:J74))</f>
        <v>0.93</v>
      </c>
      <c r="O74" s="30" t="n">
        <f aca="false">IF($A74&gt;$B$5,"",SUM(D$60:D74))</f>
        <v>0.2126</v>
      </c>
      <c r="P74" s="30" t="n">
        <f aca="false">IF($A74&gt;$B$5,"",SUM(K$60:K74))</f>
        <v>0.2126</v>
      </c>
    </row>
    <row r="75" customFormat="false" ht="15" hidden="false" customHeight="false" outlineLevel="0" collapsed="false">
      <c r="A75" s="27" t="n">
        <f aca="false">A74+1</f>
        <v>16</v>
      </c>
      <c r="B75" s="28" t="n">
        <f aca="false">IF($A75&gt;$B$5,"",$B$3+$B$4*($A75-1))</f>
        <v>55000</v>
      </c>
      <c r="C75" s="29" t="n">
        <f aca="false">IF($A75&gt;$B$5,"",B75*$B$6/1000000)</f>
        <v>0.11</v>
      </c>
      <c r="D75" s="29" t="n">
        <f aca="false">IF($A75&gt;$B$5,"",(B74*$B$8+(B75-B74)*$B$7)*$B$6/1000000)</f>
        <v>0.0179</v>
      </c>
      <c r="E75" s="29" t="n">
        <f aca="false">IF($A75&gt;$B$5,"",IF(MOD($A75,$B$13)=0,B75*$B$7,B74*$B$8+(B75-B74)*$B$7)*$B$6/1000000)</f>
        <v>0.0179</v>
      </c>
      <c r="F75" s="29" t="n">
        <f aca="false">IF($A75&gt;$B$5,"",(B74*$B$9+(B75-B74)*$B$7)*$B$6/1000000)</f>
        <v>0.0127</v>
      </c>
      <c r="G75" s="29" t="n">
        <f aca="false">IF($A75&gt;$B$5,"",(($B$3-$B$14)*$B$8+(B75-($B$3-$B$14))*$B$7)*$B$6/1000000)</f>
        <v>0.1191</v>
      </c>
      <c r="H75" s="28" t="n">
        <f aca="false">IF($A75&gt;$B$5,"",IF(H74+$B$4&gt;$B$11,$B$12,H74+$B$4))</f>
        <v>55000</v>
      </c>
      <c r="I75" s="27" t="n">
        <f aca="false">IF($A75&gt;$B$5,"",IF(H74+$B$4&gt;$B$11,1,0))</f>
        <v>0</v>
      </c>
      <c r="J75" s="29" t="n">
        <f aca="false">IF($A75&gt;$B$5,"",H75*$B$6/1000000)</f>
        <v>0.11</v>
      </c>
      <c r="K75" s="29" t="n">
        <f aca="false">IF($A75&gt;$B$5,"",IF(I75=1,$B$3*$B$8+(H75-$B$3)*$B$7,H74*$B$8+(H75-H74)*$B$7)*$B$6/1000000)</f>
        <v>0.0179</v>
      </c>
      <c r="L75" s="29" t="n">
        <f aca="false">IF($A75&gt;$B$5,"",IF(I75=1,(H74*$B$8+$B$4*$B$7)*$B$6/1000000,0))</f>
        <v>0</v>
      </c>
      <c r="M75" s="30" t="n">
        <f aca="false">IF($A75&gt;$B$5,"",SUM(C$60:C75))</f>
        <v>1.04</v>
      </c>
      <c r="N75" s="30" t="n">
        <f aca="false">IF($A75&gt;$B$5,"",SUM(J$60:J75))</f>
        <v>1.04</v>
      </c>
      <c r="O75" s="30" t="n">
        <f aca="false">IF($A75&gt;$B$5,"",SUM(D$60:D75))</f>
        <v>0.2305</v>
      </c>
      <c r="P75" s="30" t="n">
        <f aca="false">IF($A75&gt;$B$5,"",SUM(K$60:K75))</f>
        <v>0.2305</v>
      </c>
    </row>
    <row r="76" customFormat="false" ht="15" hidden="false" customHeight="false" outlineLevel="0" collapsed="false">
      <c r="A76" s="27" t="n">
        <f aca="false">A75+1</f>
        <v>17</v>
      </c>
      <c r="B76" s="28" t="n">
        <f aca="false">IF($A76&gt;$B$5,"",$B$3+$B$4*($A76-1))</f>
        <v>58000</v>
      </c>
      <c r="C76" s="29" t="n">
        <f aca="false">IF($A76&gt;$B$5,"",B76*$B$6/1000000)</f>
        <v>0.116</v>
      </c>
      <c r="D76" s="29" t="n">
        <f aca="false">IF($A76&gt;$B$5,"",(B75*$B$8+(B76-B75)*$B$7)*$B$6/1000000)</f>
        <v>0.0185</v>
      </c>
      <c r="E76" s="29" t="n">
        <f aca="false">IF($A76&gt;$B$5,"",IF(MOD($A76,$B$13)=0,B76*$B$7,B75*$B$8+(B76-B75)*$B$7)*$B$6/1000000)</f>
        <v>0.0185</v>
      </c>
      <c r="F76" s="29" t="n">
        <f aca="false">IF($A76&gt;$B$5,"",(B75*$B$9+(B76-B75)*$B$7)*$B$6/1000000)</f>
        <v>0.013</v>
      </c>
      <c r="G76" s="29" t="n">
        <f aca="false">IF($A76&gt;$B$5,"",(($B$3-$B$14)*$B$8+(B76-($B$3-$B$14))*$B$7)*$B$6/1000000)</f>
        <v>0.1266</v>
      </c>
      <c r="H76" s="28" t="n">
        <f aca="false">IF($A76&gt;$B$5,"",IF(H75+$B$4&gt;$B$11,$B$12,H75+$B$4))</f>
        <v>58000</v>
      </c>
      <c r="I76" s="27" t="n">
        <f aca="false">IF($A76&gt;$B$5,"",IF(H75+$B$4&gt;$B$11,1,0))</f>
        <v>0</v>
      </c>
      <c r="J76" s="29" t="n">
        <f aca="false">IF($A76&gt;$B$5,"",H76*$B$6/1000000)</f>
        <v>0.116</v>
      </c>
      <c r="K76" s="29" t="n">
        <f aca="false">IF($A76&gt;$B$5,"",IF(I76=1,$B$3*$B$8+(H76-$B$3)*$B$7,H75*$B$8+(H76-H75)*$B$7)*$B$6/1000000)</f>
        <v>0.0185</v>
      </c>
      <c r="L76" s="29" t="n">
        <f aca="false">IF($A76&gt;$B$5,"",IF(I76=1,(H75*$B$8+$B$4*$B$7)*$B$6/1000000,0))</f>
        <v>0</v>
      </c>
      <c r="M76" s="30" t="n">
        <f aca="false">IF($A76&gt;$B$5,"",SUM(C$60:C76))</f>
        <v>1.156</v>
      </c>
      <c r="N76" s="30" t="n">
        <f aca="false">IF($A76&gt;$B$5,"",SUM(J$60:J76))</f>
        <v>1.156</v>
      </c>
      <c r="O76" s="30" t="n">
        <f aca="false">IF($A76&gt;$B$5,"",SUM(D$60:D76))</f>
        <v>0.249</v>
      </c>
      <c r="P76" s="30" t="n">
        <f aca="false">IF($A76&gt;$B$5,"",SUM(K$60:K76))</f>
        <v>0.249</v>
      </c>
    </row>
    <row r="77" customFormat="false" ht="15" hidden="false" customHeight="false" outlineLevel="0" collapsed="false">
      <c r="A77" s="27" t="n">
        <f aca="false">A76+1</f>
        <v>18</v>
      </c>
      <c r="B77" s="28" t="n">
        <f aca="false">IF($A77&gt;$B$5,"",$B$3+$B$4*($A77-1))</f>
        <v>61000</v>
      </c>
      <c r="C77" s="29" t="n">
        <f aca="false">IF($A77&gt;$B$5,"",B77*$B$6/1000000)</f>
        <v>0.122</v>
      </c>
      <c r="D77" s="29" t="n">
        <f aca="false">IF($A77&gt;$B$5,"",(B76*$B$8+(B77-B76)*$B$7)*$B$6/1000000)</f>
        <v>0.0191</v>
      </c>
      <c r="E77" s="29" t="n">
        <f aca="false">IF($A77&gt;$B$5,"",IF(MOD($A77,$B$13)=0,B77*$B$7,B76*$B$8+(B77-B76)*$B$7)*$B$6/1000000)</f>
        <v>0.0191</v>
      </c>
      <c r="F77" s="29" t="n">
        <f aca="false">IF($A77&gt;$B$5,"",(B76*$B$9+(B77-B76)*$B$7)*$B$6/1000000)</f>
        <v>0.0133</v>
      </c>
      <c r="G77" s="29" t="n">
        <f aca="false">IF($A77&gt;$B$5,"",(($B$3-$B$14)*$B$8+(B77-($B$3-$B$14))*$B$7)*$B$6/1000000)</f>
        <v>0.1341</v>
      </c>
      <c r="H77" s="28" t="n">
        <f aca="false">IF($A77&gt;$B$5,"",IF(H76+$B$4&gt;$B$11,$B$12,H76+$B$4))</f>
        <v>61000</v>
      </c>
      <c r="I77" s="27" t="n">
        <f aca="false">IF($A77&gt;$B$5,"",IF(H76+$B$4&gt;$B$11,1,0))</f>
        <v>0</v>
      </c>
      <c r="J77" s="29" t="n">
        <f aca="false">IF($A77&gt;$B$5,"",H77*$B$6/1000000)</f>
        <v>0.122</v>
      </c>
      <c r="K77" s="29" t="n">
        <f aca="false">IF($A77&gt;$B$5,"",IF(I77=1,$B$3*$B$8+(H77-$B$3)*$B$7,H76*$B$8+(H77-H76)*$B$7)*$B$6/1000000)</f>
        <v>0.0191</v>
      </c>
      <c r="L77" s="29" t="n">
        <f aca="false">IF($A77&gt;$B$5,"",IF(I77=1,(H76*$B$8+$B$4*$B$7)*$B$6/1000000,0))</f>
        <v>0</v>
      </c>
      <c r="M77" s="30" t="n">
        <f aca="false">IF($A77&gt;$B$5,"",SUM(C$60:C77))</f>
        <v>1.278</v>
      </c>
      <c r="N77" s="30" t="n">
        <f aca="false">IF($A77&gt;$B$5,"",SUM(J$60:J77))</f>
        <v>1.278</v>
      </c>
      <c r="O77" s="30" t="n">
        <f aca="false">IF($A77&gt;$B$5,"",SUM(D$60:D77))</f>
        <v>0.2681</v>
      </c>
      <c r="P77" s="30" t="n">
        <f aca="false">IF($A77&gt;$B$5,"",SUM(K$60:K77))</f>
        <v>0.2681</v>
      </c>
    </row>
    <row r="78" customFormat="false" ht="15" hidden="false" customHeight="false" outlineLevel="0" collapsed="false">
      <c r="A78" s="27" t="n">
        <f aca="false">A77+1</f>
        <v>19</v>
      </c>
      <c r="B78" s="28" t="n">
        <f aca="false">IF($A78&gt;$B$5,"",$B$3+$B$4*($A78-1))</f>
        <v>64000</v>
      </c>
      <c r="C78" s="29" t="n">
        <f aca="false">IF($A78&gt;$B$5,"",B78*$B$6/1000000)</f>
        <v>0.128</v>
      </c>
      <c r="D78" s="29" t="n">
        <f aca="false">IF($A78&gt;$B$5,"",(B77*$B$8+(B78-B77)*$B$7)*$B$6/1000000)</f>
        <v>0.0197</v>
      </c>
      <c r="E78" s="29" t="n">
        <f aca="false">IF($A78&gt;$B$5,"",IF(MOD($A78,$B$13)=0,B78*$B$7,B77*$B$8+(B78-B77)*$B$7)*$B$6/1000000)</f>
        <v>0.0197</v>
      </c>
      <c r="F78" s="29" t="n">
        <f aca="false">IF($A78&gt;$B$5,"",(B77*$B$9+(B78-B77)*$B$7)*$B$6/1000000)</f>
        <v>0.0136</v>
      </c>
      <c r="G78" s="29" t="n">
        <f aca="false">IF($A78&gt;$B$5,"",(($B$3-$B$14)*$B$8+(B78-($B$3-$B$14))*$B$7)*$B$6/1000000)</f>
        <v>0.1416</v>
      </c>
      <c r="H78" s="28" t="n">
        <f aca="false">IF($A78&gt;$B$5,"",IF(H77+$B$4&gt;$B$11,$B$12,H77+$B$4))</f>
        <v>64000</v>
      </c>
      <c r="I78" s="27" t="n">
        <f aca="false">IF($A78&gt;$B$5,"",IF(H77+$B$4&gt;$B$11,1,0))</f>
        <v>0</v>
      </c>
      <c r="J78" s="29" t="n">
        <f aca="false">IF($A78&gt;$B$5,"",H78*$B$6/1000000)</f>
        <v>0.128</v>
      </c>
      <c r="K78" s="29" t="n">
        <f aca="false">IF($A78&gt;$B$5,"",IF(I78=1,$B$3*$B$8+(H78-$B$3)*$B$7,H77*$B$8+(H78-H77)*$B$7)*$B$6/1000000)</f>
        <v>0.0197</v>
      </c>
      <c r="L78" s="29" t="n">
        <f aca="false">IF($A78&gt;$B$5,"",IF(I78=1,(H77*$B$8+$B$4*$B$7)*$B$6/1000000,0))</f>
        <v>0</v>
      </c>
      <c r="M78" s="30" t="n">
        <f aca="false">IF($A78&gt;$B$5,"",SUM(C$60:C78))</f>
        <v>1.406</v>
      </c>
      <c r="N78" s="30" t="n">
        <f aca="false">IF($A78&gt;$B$5,"",SUM(J$60:J78))</f>
        <v>1.406</v>
      </c>
      <c r="O78" s="30" t="n">
        <f aca="false">IF($A78&gt;$B$5,"",SUM(D$60:D78))</f>
        <v>0.2878</v>
      </c>
      <c r="P78" s="30" t="n">
        <f aca="false">IF($A78&gt;$B$5,"",SUM(K$60:K78))</f>
        <v>0.2878</v>
      </c>
    </row>
    <row r="79" customFormat="false" ht="15" hidden="false" customHeight="false" outlineLevel="0" collapsed="false">
      <c r="A79" s="27" t="n">
        <f aca="false">A78+1</f>
        <v>20</v>
      </c>
      <c r="B79" s="28" t="n">
        <f aca="false">IF($A79&gt;$B$5,"",$B$3+$B$4*($A79-1))</f>
        <v>67000</v>
      </c>
      <c r="C79" s="29" t="n">
        <f aca="false">IF($A79&gt;$B$5,"",B79*$B$6/1000000)</f>
        <v>0.134</v>
      </c>
      <c r="D79" s="29" t="n">
        <f aca="false">IF($A79&gt;$B$5,"",(B78*$B$8+(B79-B78)*$B$7)*$B$6/1000000)</f>
        <v>0.0203</v>
      </c>
      <c r="E79" s="29" t="n">
        <f aca="false">IF($A79&gt;$B$5,"",IF(MOD($A79,$B$13)=0,B79*$B$7,B78*$B$8+(B79-B78)*$B$7)*$B$6/1000000)</f>
        <v>0.1675</v>
      </c>
      <c r="F79" s="29" t="n">
        <f aca="false">IF($A79&gt;$B$5,"",(B78*$B$9+(B79-B78)*$B$7)*$B$6/1000000)</f>
        <v>0.0139</v>
      </c>
      <c r="G79" s="29" t="n">
        <f aca="false">IF($A79&gt;$B$5,"",(($B$3-$B$14)*$B$8+(B79-($B$3-$B$14))*$B$7)*$B$6/1000000)</f>
        <v>0.1491</v>
      </c>
      <c r="H79" s="28" t="n">
        <f aca="false">IF($A79&gt;$B$5,"",IF(H78+$B$4&gt;$B$11,$B$12,H78+$B$4))</f>
        <v>67000</v>
      </c>
      <c r="I79" s="27" t="n">
        <f aca="false">IF($A79&gt;$B$5,"",IF(H78+$B$4&gt;$B$11,1,0))</f>
        <v>0</v>
      </c>
      <c r="J79" s="29" t="n">
        <f aca="false">IF($A79&gt;$B$5,"",H79*$B$6/1000000)</f>
        <v>0.134</v>
      </c>
      <c r="K79" s="29" t="n">
        <f aca="false">IF($A79&gt;$B$5,"",IF(I79=1,$B$3*$B$8+(H79-$B$3)*$B$7,H78*$B$8+(H79-H78)*$B$7)*$B$6/1000000)</f>
        <v>0.0203</v>
      </c>
      <c r="L79" s="29" t="n">
        <f aca="false">IF($A79&gt;$B$5,"",IF(I79=1,(H78*$B$8+$B$4*$B$7)*$B$6/1000000,0))</f>
        <v>0</v>
      </c>
      <c r="M79" s="30" t="n">
        <f aca="false">IF($A79&gt;$B$5,"",SUM(C$60:C79))</f>
        <v>1.54</v>
      </c>
      <c r="N79" s="30" t="n">
        <f aca="false">IF($A79&gt;$B$5,"",SUM(J$60:J79))</f>
        <v>1.54</v>
      </c>
      <c r="O79" s="30" t="n">
        <f aca="false">IF($A79&gt;$B$5,"",SUM(D$60:D79))</f>
        <v>0.3081</v>
      </c>
      <c r="P79" s="30" t="n">
        <f aca="false">IF($A79&gt;$B$5,"",SUM(K$60:K79))</f>
        <v>0.3081</v>
      </c>
    </row>
    <row r="80" customFormat="false" ht="15" hidden="false" customHeight="false" outlineLevel="0" collapsed="false">
      <c r="A80" s="27" t="n">
        <f aca="false">A79+1</f>
        <v>21</v>
      </c>
      <c r="B80" s="28" t="n">
        <f aca="false">IF($A80&gt;$B$5,"",$B$3+$B$4*($A80-1))</f>
        <v>70000</v>
      </c>
      <c r="C80" s="29" t="n">
        <f aca="false">IF($A80&gt;$B$5,"",B80*$B$6/1000000)</f>
        <v>0.14</v>
      </c>
      <c r="D80" s="29" t="n">
        <f aca="false">IF($A80&gt;$B$5,"",(B79*$B$8+(B80-B79)*$B$7)*$B$6/1000000)</f>
        <v>0.0209</v>
      </c>
      <c r="E80" s="29" t="n">
        <f aca="false">IF($A80&gt;$B$5,"",IF(MOD($A80,$B$13)=0,B80*$B$7,B79*$B$8+(B80-B79)*$B$7)*$B$6/1000000)</f>
        <v>0.0209</v>
      </c>
      <c r="F80" s="29" t="n">
        <f aca="false">IF($A80&gt;$B$5,"",(B79*$B$9+(B80-B79)*$B$7)*$B$6/1000000)</f>
        <v>0.0142</v>
      </c>
      <c r="G80" s="29" t="n">
        <f aca="false">IF($A80&gt;$B$5,"",(($B$3-$B$14)*$B$8+(B80-($B$3-$B$14))*$B$7)*$B$6/1000000)</f>
        <v>0.1566</v>
      </c>
      <c r="H80" s="28" t="n">
        <f aca="false">IF($A80&gt;$B$5,"",IF(H79+$B$4&gt;$B$11,$B$12,H79+$B$4))</f>
        <v>70000</v>
      </c>
      <c r="I80" s="27" t="n">
        <f aca="false">IF($A80&gt;$B$5,"",IF(H79+$B$4&gt;$B$11,1,0))</f>
        <v>0</v>
      </c>
      <c r="J80" s="29" t="n">
        <f aca="false">IF($A80&gt;$B$5,"",H80*$B$6/1000000)</f>
        <v>0.14</v>
      </c>
      <c r="K80" s="29" t="n">
        <f aca="false">IF($A80&gt;$B$5,"",IF(I80=1,$B$3*$B$8+(H80-$B$3)*$B$7,H79*$B$8+(H80-H79)*$B$7)*$B$6/1000000)</f>
        <v>0.0209</v>
      </c>
      <c r="L80" s="29" t="n">
        <f aca="false">IF($A80&gt;$B$5,"",IF(I80=1,(H79*$B$8+$B$4*$B$7)*$B$6/1000000,0))</f>
        <v>0</v>
      </c>
      <c r="M80" s="30" t="n">
        <f aca="false">IF($A80&gt;$B$5,"",SUM(C$60:C80))</f>
        <v>1.68</v>
      </c>
      <c r="N80" s="30" t="n">
        <f aca="false">IF($A80&gt;$B$5,"",SUM(J$60:J80))</f>
        <v>1.68</v>
      </c>
      <c r="O80" s="30" t="n">
        <f aca="false">IF($A80&gt;$B$5,"",SUM(D$60:D80))</f>
        <v>0.329</v>
      </c>
      <c r="P80" s="30" t="n">
        <f aca="false">IF($A80&gt;$B$5,"",SUM(K$60:K80))</f>
        <v>0.329</v>
      </c>
    </row>
    <row r="81" customFormat="false" ht="15" hidden="false" customHeight="false" outlineLevel="0" collapsed="false">
      <c r="A81" s="27" t="n">
        <f aca="false">A80+1</f>
        <v>22</v>
      </c>
      <c r="B81" s="28" t="n">
        <f aca="false">IF($A81&gt;$B$5,"",$B$3+$B$4*($A81-1))</f>
        <v>73000</v>
      </c>
      <c r="C81" s="29" t="n">
        <f aca="false">IF($A81&gt;$B$5,"",B81*$B$6/1000000)</f>
        <v>0.146</v>
      </c>
      <c r="D81" s="29" t="n">
        <f aca="false">IF($A81&gt;$B$5,"",(B80*$B$8+(B81-B80)*$B$7)*$B$6/1000000)</f>
        <v>0.0215</v>
      </c>
      <c r="E81" s="29" t="n">
        <f aca="false">IF($A81&gt;$B$5,"",IF(MOD($A81,$B$13)=0,B81*$B$7,B80*$B$8+(B81-B80)*$B$7)*$B$6/1000000)</f>
        <v>0.0215</v>
      </c>
      <c r="F81" s="29" t="n">
        <f aca="false">IF($A81&gt;$B$5,"",(B80*$B$9+(B81-B80)*$B$7)*$B$6/1000000)</f>
        <v>0.0145</v>
      </c>
      <c r="G81" s="29" t="n">
        <f aca="false">IF($A81&gt;$B$5,"",(($B$3-$B$14)*$B$8+(B81-($B$3-$B$14))*$B$7)*$B$6/1000000)</f>
        <v>0.1641</v>
      </c>
      <c r="H81" s="28" t="n">
        <f aca="false">IF($A81&gt;$B$5,"",IF(H80+$B$4&gt;$B$11,$B$12,H80+$B$4))</f>
        <v>73000</v>
      </c>
      <c r="I81" s="27" t="n">
        <f aca="false">IF($A81&gt;$B$5,"",IF(H80+$B$4&gt;$B$11,1,0))</f>
        <v>0</v>
      </c>
      <c r="J81" s="29" t="n">
        <f aca="false">IF($A81&gt;$B$5,"",H81*$B$6/1000000)</f>
        <v>0.146</v>
      </c>
      <c r="K81" s="29" t="n">
        <f aca="false">IF($A81&gt;$B$5,"",IF(I81=1,$B$3*$B$8+(H81-$B$3)*$B$7,H80*$B$8+(H81-H80)*$B$7)*$B$6/1000000)</f>
        <v>0.0215</v>
      </c>
      <c r="L81" s="29" t="n">
        <f aca="false">IF($A81&gt;$B$5,"",IF(I81=1,(H80*$B$8+$B$4*$B$7)*$B$6/1000000,0))</f>
        <v>0</v>
      </c>
      <c r="M81" s="30" t="n">
        <f aca="false">IF($A81&gt;$B$5,"",SUM(C$60:C81))</f>
        <v>1.826</v>
      </c>
      <c r="N81" s="30" t="n">
        <f aca="false">IF($A81&gt;$B$5,"",SUM(J$60:J81))</f>
        <v>1.826</v>
      </c>
      <c r="O81" s="30" t="n">
        <f aca="false">IF($A81&gt;$B$5,"",SUM(D$60:D81))</f>
        <v>0.3505</v>
      </c>
      <c r="P81" s="30" t="n">
        <f aca="false">IF($A81&gt;$B$5,"",SUM(K$60:K81))</f>
        <v>0.3505</v>
      </c>
    </row>
    <row r="82" customFormat="false" ht="15" hidden="false" customHeight="false" outlineLevel="0" collapsed="false">
      <c r="A82" s="27" t="n">
        <f aca="false">A81+1</f>
        <v>23</v>
      </c>
      <c r="B82" s="28" t="n">
        <f aca="false">IF($A82&gt;$B$5,"",$B$3+$B$4*($A82-1))</f>
        <v>76000</v>
      </c>
      <c r="C82" s="29" t="n">
        <f aca="false">IF($A82&gt;$B$5,"",B82*$B$6/1000000)</f>
        <v>0.152</v>
      </c>
      <c r="D82" s="29" t="n">
        <f aca="false">IF($A82&gt;$B$5,"",(B81*$B$8+(B82-B81)*$B$7)*$B$6/1000000)</f>
        <v>0.0221</v>
      </c>
      <c r="E82" s="29" t="n">
        <f aca="false">IF($A82&gt;$B$5,"",IF(MOD($A82,$B$13)=0,B82*$B$7,B81*$B$8+(B82-B81)*$B$7)*$B$6/1000000)</f>
        <v>0.0221</v>
      </c>
      <c r="F82" s="29" t="n">
        <f aca="false">IF($A82&gt;$B$5,"",(B81*$B$9+(B82-B81)*$B$7)*$B$6/1000000)</f>
        <v>0.0148</v>
      </c>
      <c r="G82" s="29" t="n">
        <f aca="false">IF($A82&gt;$B$5,"",(($B$3-$B$14)*$B$8+(B82-($B$3-$B$14))*$B$7)*$B$6/1000000)</f>
        <v>0.1716</v>
      </c>
      <c r="H82" s="28" t="n">
        <f aca="false">IF($A82&gt;$B$5,"",IF(H81+$B$4&gt;$B$11,$B$12,H81+$B$4))</f>
        <v>76000</v>
      </c>
      <c r="I82" s="27" t="n">
        <f aca="false">IF($A82&gt;$B$5,"",IF(H81+$B$4&gt;$B$11,1,0))</f>
        <v>0</v>
      </c>
      <c r="J82" s="29" t="n">
        <f aca="false">IF($A82&gt;$B$5,"",H82*$B$6/1000000)</f>
        <v>0.152</v>
      </c>
      <c r="K82" s="29" t="n">
        <f aca="false">IF($A82&gt;$B$5,"",IF(I82=1,$B$3*$B$8+(H82-$B$3)*$B$7,H81*$B$8+(H82-H81)*$B$7)*$B$6/1000000)</f>
        <v>0.0221</v>
      </c>
      <c r="L82" s="29" t="n">
        <f aca="false">IF($A82&gt;$B$5,"",IF(I82=1,(H81*$B$8+$B$4*$B$7)*$B$6/1000000,0))</f>
        <v>0</v>
      </c>
      <c r="M82" s="30" t="n">
        <f aca="false">IF($A82&gt;$B$5,"",SUM(C$60:C82))</f>
        <v>1.978</v>
      </c>
      <c r="N82" s="30" t="n">
        <f aca="false">IF($A82&gt;$B$5,"",SUM(J$60:J82))</f>
        <v>1.978</v>
      </c>
      <c r="O82" s="30" t="n">
        <f aca="false">IF($A82&gt;$B$5,"",SUM(D$60:D82))</f>
        <v>0.3726</v>
      </c>
      <c r="P82" s="30" t="n">
        <f aca="false">IF($A82&gt;$B$5,"",SUM(K$60:K82))</f>
        <v>0.3726</v>
      </c>
    </row>
    <row r="83" customFormat="false" ht="15" hidden="false" customHeight="false" outlineLevel="0" collapsed="false">
      <c r="A83" s="27" t="n">
        <f aca="false">A82+1</f>
        <v>24</v>
      </c>
      <c r="B83" s="28" t="n">
        <f aca="false">IF($A83&gt;$B$5,"",$B$3+$B$4*($A83-1))</f>
        <v>79000</v>
      </c>
      <c r="C83" s="29" t="n">
        <f aca="false">IF($A83&gt;$B$5,"",B83*$B$6/1000000)</f>
        <v>0.158</v>
      </c>
      <c r="D83" s="29" t="n">
        <f aca="false">IF($A83&gt;$B$5,"",(B82*$B$8+(B83-B82)*$B$7)*$B$6/1000000)</f>
        <v>0.0227</v>
      </c>
      <c r="E83" s="29" t="n">
        <f aca="false">IF($A83&gt;$B$5,"",IF(MOD($A83,$B$13)=0,B83*$B$7,B82*$B$8+(B83-B82)*$B$7)*$B$6/1000000)</f>
        <v>0.0227</v>
      </c>
      <c r="F83" s="29" t="n">
        <f aca="false">IF($A83&gt;$B$5,"",(B82*$B$9+(B83-B82)*$B$7)*$B$6/1000000)</f>
        <v>0.0151</v>
      </c>
      <c r="G83" s="29" t="n">
        <f aca="false">IF($A83&gt;$B$5,"",(($B$3-$B$14)*$B$8+(B83-($B$3-$B$14))*$B$7)*$B$6/1000000)</f>
        <v>0.1791</v>
      </c>
      <c r="H83" s="28" t="n">
        <f aca="false">IF($A83&gt;$B$5,"",IF(H82+$B$4&gt;$B$11,$B$12,H82+$B$4))</f>
        <v>79000</v>
      </c>
      <c r="I83" s="27" t="n">
        <f aca="false">IF($A83&gt;$B$5,"",IF(H82+$B$4&gt;$B$11,1,0))</f>
        <v>0</v>
      </c>
      <c r="J83" s="29" t="n">
        <f aca="false">IF($A83&gt;$B$5,"",H83*$B$6/1000000)</f>
        <v>0.158</v>
      </c>
      <c r="K83" s="29" t="n">
        <f aca="false">IF($A83&gt;$B$5,"",IF(I83=1,$B$3*$B$8+(H83-$B$3)*$B$7,H82*$B$8+(H83-H82)*$B$7)*$B$6/1000000)</f>
        <v>0.0227</v>
      </c>
      <c r="L83" s="29" t="n">
        <f aca="false">IF($A83&gt;$B$5,"",IF(I83=1,(H82*$B$8+$B$4*$B$7)*$B$6/1000000,0))</f>
        <v>0</v>
      </c>
      <c r="M83" s="30" t="n">
        <f aca="false">IF($A83&gt;$B$5,"",SUM(C$60:C83))</f>
        <v>2.136</v>
      </c>
      <c r="N83" s="30" t="n">
        <f aca="false">IF($A83&gt;$B$5,"",SUM(J$60:J83))</f>
        <v>2.136</v>
      </c>
      <c r="O83" s="30" t="n">
        <f aca="false">IF($A83&gt;$B$5,"",SUM(D$60:D83))</f>
        <v>0.3953</v>
      </c>
      <c r="P83" s="30" t="n">
        <f aca="false">IF($A83&gt;$B$5,"",SUM(K$60:K83))</f>
        <v>0.3953</v>
      </c>
    </row>
    <row r="84" customFormat="false" ht="15" hidden="false" customHeight="false" outlineLevel="0" collapsed="false">
      <c r="A84" s="27" t="n">
        <f aca="false">A83+1</f>
        <v>25</v>
      </c>
      <c r="B84" s="28" t="n">
        <f aca="false">IF($A84&gt;$B$5,"",$B$3+$B$4*($A84-1))</f>
        <v>82000</v>
      </c>
      <c r="C84" s="29" t="n">
        <f aca="false">IF($A84&gt;$B$5,"",B84*$B$6/1000000)</f>
        <v>0.164</v>
      </c>
      <c r="D84" s="29" t="n">
        <f aca="false">IF($A84&gt;$B$5,"",(B83*$B$8+(B84-B83)*$B$7)*$B$6/1000000)</f>
        <v>0.0233</v>
      </c>
      <c r="E84" s="29" t="n">
        <f aca="false">IF($A84&gt;$B$5,"",IF(MOD($A84,$B$13)=0,B84*$B$7,B83*$B$8+(B84-B83)*$B$7)*$B$6/1000000)</f>
        <v>0.0233</v>
      </c>
      <c r="F84" s="29" t="n">
        <f aca="false">IF($A84&gt;$B$5,"",(B83*$B$9+(B84-B83)*$B$7)*$B$6/1000000)</f>
        <v>0.0154</v>
      </c>
      <c r="G84" s="29" t="n">
        <f aca="false">IF($A84&gt;$B$5,"",(($B$3-$B$14)*$B$8+(B84-($B$3-$B$14))*$B$7)*$B$6/1000000)</f>
        <v>0.1866</v>
      </c>
      <c r="H84" s="28" t="n">
        <f aca="false">IF($A84&gt;$B$5,"",IF(H83+$B$4&gt;$B$11,$B$12,H83+$B$4))</f>
        <v>82000</v>
      </c>
      <c r="I84" s="27" t="n">
        <f aca="false">IF($A84&gt;$B$5,"",IF(H83+$B$4&gt;$B$11,1,0))</f>
        <v>0</v>
      </c>
      <c r="J84" s="29" t="n">
        <f aca="false">IF($A84&gt;$B$5,"",H84*$B$6/1000000)</f>
        <v>0.164</v>
      </c>
      <c r="K84" s="29" t="n">
        <f aca="false">IF($A84&gt;$B$5,"",IF(I84=1,$B$3*$B$8+(H84-$B$3)*$B$7,H83*$B$8+(H84-H83)*$B$7)*$B$6/1000000)</f>
        <v>0.0233</v>
      </c>
      <c r="L84" s="29" t="n">
        <f aca="false">IF($A84&gt;$B$5,"",IF(I84=1,(H83*$B$8+$B$4*$B$7)*$B$6/1000000,0))</f>
        <v>0</v>
      </c>
      <c r="M84" s="30" t="n">
        <f aca="false">IF($A84&gt;$B$5,"",SUM(C$60:C84))</f>
        <v>2.3</v>
      </c>
      <c r="N84" s="30" t="n">
        <f aca="false">IF($A84&gt;$B$5,"",SUM(J$60:J84))</f>
        <v>2.3</v>
      </c>
      <c r="O84" s="30" t="n">
        <f aca="false">IF($A84&gt;$B$5,"",SUM(D$60:D84))</f>
        <v>0.4186</v>
      </c>
      <c r="P84" s="30" t="n">
        <f aca="false">IF($A84&gt;$B$5,"",SUM(K$60:K84))</f>
        <v>0.4186</v>
      </c>
    </row>
    <row r="85" customFormat="false" ht="15" hidden="false" customHeight="false" outlineLevel="0" collapsed="false">
      <c r="A85" s="27" t="n">
        <f aca="false">A84+1</f>
        <v>26</v>
      </c>
      <c r="B85" s="28" t="n">
        <f aca="false">IF($A85&gt;$B$5,"",$B$3+$B$4*($A85-1))</f>
        <v>85000</v>
      </c>
      <c r="C85" s="29" t="n">
        <f aca="false">IF($A85&gt;$B$5,"",B85*$B$6/1000000)</f>
        <v>0.17</v>
      </c>
      <c r="D85" s="29" t="n">
        <f aca="false">IF($A85&gt;$B$5,"",(B84*$B$8+(B85-B84)*$B$7)*$B$6/1000000)</f>
        <v>0.0239</v>
      </c>
      <c r="E85" s="29" t="n">
        <f aca="false">IF($A85&gt;$B$5,"",IF(MOD($A85,$B$13)=0,B85*$B$7,B84*$B$8+(B85-B84)*$B$7)*$B$6/1000000)</f>
        <v>0.0239</v>
      </c>
      <c r="F85" s="29" t="n">
        <f aca="false">IF($A85&gt;$B$5,"",(B84*$B$9+(B85-B84)*$B$7)*$B$6/1000000)</f>
        <v>0.0157</v>
      </c>
      <c r="G85" s="29" t="n">
        <f aca="false">IF($A85&gt;$B$5,"",(($B$3-$B$14)*$B$8+(B85-($B$3-$B$14))*$B$7)*$B$6/1000000)</f>
        <v>0.1941</v>
      </c>
      <c r="H85" s="28" t="n">
        <f aca="false">IF($A85&gt;$B$5,"",IF(H84+$B$4&gt;$B$11,$B$12,H84+$B$4))</f>
        <v>85000</v>
      </c>
      <c r="I85" s="27" t="n">
        <f aca="false">IF($A85&gt;$B$5,"",IF(H84+$B$4&gt;$B$11,1,0))</f>
        <v>0</v>
      </c>
      <c r="J85" s="29" t="n">
        <f aca="false">IF($A85&gt;$B$5,"",H85*$B$6/1000000)</f>
        <v>0.17</v>
      </c>
      <c r="K85" s="29" t="n">
        <f aca="false">IF($A85&gt;$B$5,"",IF(I85=1,$B$3*$B$8+(H85-$B$3)*$B$7,H84*$B$8+(H85-H84)*$B$7)*$B$6/1000000)</f>
        <v>0.0239</v>
      </c>
      <c r="L85" s="29" t="n">
        <f aca="false">IF($A85&gt;$B$5,"",IF(I85=1,(H84*$B$8+$B$4*$B$7)*$B$6/1000000,0))</f>
        <v>0</v>
      </c>
      <c r="M85" s="30" t="n">
        <f aca="false">IF($A85&gt;$B$5,"",SUM(C$60:C85))</f>
        <v>2.47</v>
      </c>
      <c r="N85" s="30" t="n">
        <f aca="false">IF($A85&gt;$B$5,"",SUM(J$60:J85))</f>
        <v>2.47</v>
      </c>
      <c r="O85" s="30" t="n">
        <f aca="false">IF($A85&gt;$B$5,"",SUM(D$60:D85))</f>
        <v>0.4425</v>
      </c>
      <c r="P85" s="30" t="n">
        <f aca="false">IF($A85&gt;$B$5,"",SUM(K$60:K85))</f>
        <v>0.4425</v>
      </c>
    </row>
    <row r="86" customFormat="false" ht="15" hidden="false" customHeight="false" outlineLevel="0" collapsed="false">
      <c r="A86" s="27" t="n">
        <f aca="false">A85+1</f>
        <v>27</v>
      </c>
      <c r="B86" s="28" t="n">
        <f aca="false">IF($A86&gt;$B$5,"",$B$3+$B$4*($A86-1))</f>
        <v>88000</v>
      </c>
      <c r="C86" s="29" t="n">
        <f aca="false">IF($A86&gt;$B$5,"",B86*$B$6/1000000)</f>
        <v>0.176</v>
      </c>
      <c r="D86" s="29" t="n">
        <f aca="false">IF($A86&gt;$B$5,"",(B85*$B$8+(B86-B85)*$B$7)*$B$6/1000000)</f>
        <v>0.0245</v>
      </c>
      <c r="E86" s="29" t="n">
        <f aca="false">IF($A86&gt;$B$5,"",IF(MOD($A86,$B$13)=0,B86*$B$7,B85*$B$8+(B86-B85)*$B$7)*$B$6/1000000)</f>
        <v>0.0245</v>
      </c>
      <c r="F86" s="29" t="n">
        <f aca="false">IF($A86&gt;$B$5,"",(B85*$B$9+(B86-B85)*$B$7)*$B$6/1000000)</f>
        <v>0.016</v>
      </c>
      <c r="G86" s="29" t="n">
        <f aca="false">IF($A86&gt;$B$5,"",(($B$3-$B$14)*$B$8+(B86-($B$3-$B$14))*$B$7)*$B$6/1000000)</f>
        <v>0.2016</v>
      </c>
      <c r="H86" s="28" t="n">
        <f aca="false">IF($A86&gt;$B$5,"",IF(H85+$B$4&gt;$B$11,$B$12,H85+$B$4))</f>
        <v>88000</v>
      </c>
      <c r="I86" s="27" t="n">
        <f aca="false">IF($A86&gt;$B$5,"",IF(H85+$B$4&gt;$B$11,1,0))</f>
        <v>0</v>
      </c>
      <c r="J86" s="29" t="n">
        <f aca="false">IF($A86&gt;$B$5,"",H86*$B$6/1000000)</f>
        <v>0.176</v>
      </c>
      <c r="K86" s="29" t="n">
        <f aca="false">IF($A86&gt;$B$5,"",IF(I86=1,$B$3*$B$8+(H86-$B$3)*$B$7,H85*$B$8+(H86-H85)*$B$7)*$B$6/1000000)</f>
        <v>0.0245</v>
      </c>
      <c r="L86" s="29" t="n">
        <f aca="false">IF($A86&gt;$B$5,"",IF(I86=1,(H85*$B$8+$B$4*$B$7)*$B$6/1000000,0))</f>
        <v>0</v>
      </c>
      <c r="M86" s="30" t="n">
        <f aca="false">IF($A86&gt;$B$5,"",SUM(C$60:C86))</f>
        <v>2.646</v>
      </c>
      <c r="N86" s="30" t="n">
        <f aca="false">IF($A86&gt;$B$5,"",SUM(J$60:J86))</f>
        <v>2.646</v>
      </c>
      <c r="O86" s="30" t="n">
        <f aca="false">IF($A86&gt;$B$5,"",SUM(D$60:D86))</f>
        <v>0.467</v>
      </c>
      <c r="P86" s="30" t="n">
        <f aca="false">IF($A86&gt;$B$5,"",SUM(K$60:K86))</f>
        <v>0.467</v>
      </c>
    </row>
    <row r="87" customFormat="false" ht="15" hidden="false" customHeight="false" outlineLevel="0" collapsed="false">
      <c r="A87" s="27" t="n">
        <f aca="false">A86+1</f>
        <v>28</v>
      </c>
      <c r="B87" s="28" t="n">
        <f aca="false">IF($A87&gt;$B$5,"",$B$3+$B$4*($A87-1))</f>
        <v>91000</v>
      </c>
      <c r="C87" s="29" t="n">
        <f aca="false">IF($A87&gt;$B$5,"",B87*$B$6/1000000)</f>
        <v>0.182</v>
      </c>
      <c r="D87" s="29" t="n">
        <f aca="false">IF($A87&gt;$B$5,"",(B86*$B$8+(B87-B86)*$B$7)*$B$6/1000000)</f>
        <v>0.0251</v>
      </c>
      <c r="E87" s="29" t="n">
        <f aca="false">IF($A87&gt;$B$5,"",IF(MOD($A87,$B$13)=0,B87*$B$7,B86*$B$8+(B87-B86)*$B$7)*$B$6/1000000)</f>
        <v>0.0251</v>
      </c>
      <c r="F87" s="29" t="n">
        <f aca="false">IF($A87&gt;$B$5,"",(B86*$B$9+(B87-B86)*$B$7)*$B$6/1000000)</f>
        <v>0.0163</v>
      </c>
      <c r="G87" s="29" t="n">
        <f aca="false">IF($A87&gt;$B$5,"",(($B$3-$B$14)*$B$8+(B87-($B$3-$B$14))*$B$7)*$B$6/1000000)</f>
        <v>0.2091</v>
      </c>
      <c r="H87" s="28" t="n">
        <f aca="false">IF($A87&gt;$B$5,"",IF(H86+$B$4&gt;$B$11,$B$12,H86+$B$4))</f>
        <v>91000</v>
      </c>
      <c r="I87" s="27" t="n">
        <f aca="false">IF($A87&gt;$B$5,"",IF(H86+$B$4&gt;$B$11,1,0))</f>
        <v>0</v>
      </c>
      <c r="J87" s="29" t="n">
        <f aca="false">IF($A87&gt;$B$5,"",H87*$B$6/1000000)</f>
        <v>0.182</v>
      </c>
      <c r="K87" s="29" t="n">
        <f aca="false">IF($A87&gt;$B$5,"",IF(I87=1,$B$3*$B$8+(H87-$B$3)*$B$7,H86*$B$8+(H87-H86)*$B$7)*$B$6/1000000)</f>
        <v>0.0251</v>
      </c>
      <c r="L87" s="29" t="n">
        <f aca="false">IF($A87&gt;$B$5,"",IF(I87=1,(H86*$B$8+$B$4*$B$7)*$B$6/1000000,0))</f>
        <v>0</v>
      </c>
      <c r="M87" s="30" t="n">
        <f aca="false">IF($A87&gt;$B$5,"",SUM(C$60:C87))</f>
        <v>2.828</v>
      </c>
      <c r="N87" s="30" t="n">
        <f aca="false">IF($A87&gt;$B$5,"",SUM(J$60:J87))</f>
        <v>2.828</v>
      </c>
      <c r="O87" s="30" t="n">
        <f aca="false">IF($A87&gt;$B$5,"",SUM(D$60:D87))</f>
        <v>0.4921</v>
      </c>
      <c r="P87" s="30" t="n">
        <f aca="false">IF($A87&gt;$B$5,"",SUM(K$60:K87))</f>
        <v>0.4921</v>
      </c>
    </row>
    <row r="88" customFormat="false" ht="15" hidden="false" customHeight="false" outlineLevel="0" collapsed="false">
      <c r="A88" s="27" t="n">
        <f aca="false">A87+1</f>
        <v>29</v>
      </c>
      <c r="B88" s="28" t="n">
        <f aca="false">IF($A88&gt;$B$5,"",$B$3+$B$4*($A88-1))</f>
        <v>94000</v>
      </c>
      <c r="C88" s="29" t="n">
        <f aca="false">IF($A88&gt;$B$5,"",B88*$B$6/1000000)</f>
        <v>0.188</v>
      </c>
      <c r="D88" s="29" t="n">
        <f aca="false">IF($A88&gt;$B$5,"",(B87*$B$8+(B88-B87)*$B$7)*$B$6/1000000)</f>
        <v>0.0257</v>
      </c>
      <c r="E88" s="29" t="n">
        <f aca="false">IF($A88&gt;$B$5,"",IF(MOD($A88,$B$13)=0,B88*$B$7,B87*$B$8+(B88-B87)*$B$7)*$B$6/1000000)</f>
        <v>0.0257</v>
      </c>
      <c r="F88" s="29" t="n">
        <f aca="false">IF($A88&gt;$B$5,"",(B87*$B$9+(B88-B87)*$B$7)*$B$6/1000000)</f>
        <v>0.0166</v>
      </c>
      <c r="G88" s="29" t="n">
        <f aca="false">IF($A88&gt;$B$5,"",(($B$3-$B$14)*$B$8+(B88-($B$3-$B$14))*$B$7)*$B$6/1000000)</f>
        <v>0.2166</v>
      </c>
      <c r="H88" s="28" t="n">
        <f aca="false">IF($A88&gt;$B$5,"",IF(H87+$B$4&gt;$B$11,$B$12,H87+$B$4))</f>
        <v>94000</v>
      </c>
      <c r="I88" s="27" t="n">
        <f aca="false">IF($A88&gt;$B$5,"",IF(H87+$B$4&gt;$B$11,1,0))</f>
        <v>0</v>
      </c>
      <c r="J88" s="29" t="n">
        <f aca="false">IF($A88&gt;$B$5,"",H88*$B$6/1000000)</f>
        <v>0.188</v>
      </c>
      <c r="K88" s="29" t="n">
        <f aca="false">IF($A88&gt;$B$5,"",IF(I88=1,$B$3*$B$8+(H88-$B$3)*$B$7,H87*$B$8+(H88-H87)*$B$7)*$B$6/1000000)</f>
        <v>0.0257</v>
      </c>
      <c r="L88" s="29" t="n">
        <f aca="false">IF($A88&gt;$B$5,"",IF(I88=1,(H87*$B$8+$B$4*$B$7)*$B$6/1000000,0))</f>
        <v>0</v>
      </c>
      <c r="M88" s="30" t="n">
        <f aca="false">IF($A88&gt;$B$5,"",SUM(C$60:C88))</f>
        <v>3.016</v>
      </c>
      <c r="N88" s="30" t="n">
        <f aca="false">IF($A88&gt;$B$5,"",SUM(J$60:J88))</f>
        <v>3.016</v>
      </c>
      <c r="O88" s="30" t="n">
        <f aca="false">IF($A88&gt;$B$5,"",SUM(D$60:D88))</f>
        <v>0.5178</v>
      </c>
      <c r="P88" s="30" t="n">
        <f aca="false">IF($A88&gt;$B$5,"",SUM(K$60:K88))</f>
        <v>0.5178</v>
      </c>
    </row>
    <row r="89" customFormat="false" ht="15" hidden="false" customHeight="false" outlineLevel="0" collapsed="false">
      <c r="A89" s="27" t="n">
        <f aca="false">A88+1</f>
        <v>30</v>
      </c>
      <c r="B89" s="28" t="n">
        <f aca="false">IF($A89&gt;$B$5,"",$B$3+$B$4*($A89-1))</f>
        <v>97000</v>
      </c>
      <c r="C89" s="29" t="n">
        <f aca="false">IF($A89&gt;$B$5,"",B89*$B$6/1000000)</f>
        <v>0.194</v>
      </c>
      <c r="D89" s="29" t="n">
        <f aca="false">IF($A89&gt;$B$5,"",(B88*$B$8+(B89-B88)*$B$7)*$B$6/1000000)</f>
        <v>0.0263</v>
      </c>
      <c r="E89" s="29" t="n">
        <f aca="false">IF($A89&gt;$B$5,"",IF(MOD($A89,$B$13)=0,B89*$B$7,B88*$B$8+(B89-B88)*$B$7)*$B$6/1000000)</f>
        <v>0.2425</v>
      </c>
      <c r="F89" s="29" t="n">
        <f aca="false">IF($A89&gt;$B$5,"",(B88*$B$9+(B89-B88)*$B$7)*$B$6/1000000)</f>
        <v>0.0169</v>
      </c>
      <c r="G89" s="29" t="n">
        <f aca="false">IF($A89&gt;$B$5,"",(($B$3-$B$14)*$B$8+(B89-($B$3-$B$14))*$B$7)*$B$6/1000000)</f>
        <v>0.2241</v>
      </c>
      <c r="H89" s="28" t="n">
        <f aca="false">IF($A89&gt;$B$5,"",IF(H88+$B$4&gt;$B$11,$B$12,H88+$B$4))</f>
        <v>97000</v>
      </c>
      <c r="I89" s="27" t="n">
        <f aca="false">IF($A89&gt;$B$5,"",IF(H88+$B$4&gt;$B$11,1,0))</f>
        <v>0</v>
      </c>
      <c r="J89" s="29" t="n">
        <f aca="false">IF($A89&gt;$B$5,"",H89*$B$6/1000000)</f>
        <v>0.194</v>
      </c>
      <c r="K89" s="29" t="n">
        <f aca="false">IF($A89&gt;$B$5,"",IF(I89=1,$B$3*$B$8+(H89-$B$3)*$B$7,H88*$B$8+(H89-H88)*$B$7)*$B$6/1000000)</f>
        <v>0.0263</v>
      </c>
      <c r="L89" s="29" t="n">
        <f aca="false">IF($A89&gt;$B$5,"",IF(I89=1,(H88*$B$8+$B$4*$B$7)*$B$6/1000000,0))</f>
        <v>0</v>
      </c>
      <c r="M89" s="30" t="n">
        <f aca="false">IF($A89&gt;$B$5,"",SUM(C$60:C89))</f>
        <v>3.21</v>
      </c>
      <c r="N89" s="30" t="n">
        <f aca="false">IF($A89&gt;$B$5,"",SUM(J$60:J89))</f>
        <v>3.21</v>
      </c>
      <c r="O89" s="30" t="n">
        <f aca="false">IF($A89&gt;$B$5,"",SUM(D$60:D89))</f>
        <v>0.5441</v>
      </c>
      <c r="P89" s="30" t="n">
        <f aca="false">IF($A89&gt;$B$5,"",SUM(K$60:K89))</f>
        <v>0.5441</v>
      </c>
    </row>
    <row r="90" customFormat="false" ht="15" hidden="false" customHeight="false" outlineLevel="0" collapsed="false">
      <c r="A90" s="27" t="n">
        <f aca="false">A89+1</f>
        <v>31</v>
      </c>
      <c r="B90" s="28" t="n">
        <f aca="false">IF($A90&gt;$B$5,"",$B$3+$B$4*($A90-1))</f>
        <v>100000</v>
      </c>
      <c r="C90" s="29" t="n">
        <f aca="false">IF($A90&gt;$B$5,"",B90*$B$6/1000000)</f>
        <v>0.2</v>
      </c>
      <c r="D90" s="29" t="n">
        <f aca="false">IF($A90&gt;$B$5,"",(B89*$B$8+(B90-B89)*$B$7)*$B$6/1000000)</f>
        <v>0.0269</v>
      </c>
      <c r="E90" s="29" t="n">
        <f aca="false">IF($A90&gt;$B$5,"",IF(MOD($A90,$B$13)=0,B90*$B$7,B89*$B$8+(B90-B89)*$B$7)*$B$6/1000000)</f>
        <v>0.0269</v>
      </c>
      <c r="F90" s="29" t="n">
        <f aca="false">IF($A90&gt;$B$5,"",(B89*$B$9+(B90-B89)*$B$7)*$B$6/1000000)</f>
        <v>0.0172</v>
      </c>
      <c r="G90" s="29" t="n">
        <f aca="false">IF($A90&gt;$B$5,"",(($B$3-$B$14)*$B$8+(B90-($B$3-$B$14))*$B$7)*$B$6/1000000)</f>
        <v>0.2316</v>
      </c>
      <c r="H90" s="28" t="n">
        <f aca="false">IF($A90&gt;$B$5,"",IF(H89+$B$4&gt;$B$11,$B$12,H89+$B$4))</f>
        <v>100000</v>
      </c>
      <c r="I90" s="27" t="n">
        <f aca="false">IF($A90&gt;$B$5,"",IF(H89+$B$4&gt;$B$11,1,0))</f>
        <v>0</v>
      </c>
      <c r="J90" s="29" t="n">
        <f aca="false">IF($A90&gt;$B$5,"",H90*$B$6/1000000)</f>
        <v>0.2</v>
      </c>
      <c r="K90" s="29" t="n">
        <f aca="false">IF($A90&gt;$B$5,"",IF(I90=1,$B$3*$B$8+(H90-$B$3)*$B$7,H89*$B$8+(H90-H89)*$B$7)*$B$6/1000000)</f>
        <v>0.0269</v>
      </c>
      <c r="L90" s="29" t="n">
        <f aca="false">IF($A90&gt;$B$5,"",IF(I90=1,(H89*$B$8+$B$4*$B$7)*$B$6/1000000,0))</f>
        <v>0</v>
      </c>
      <c r="M90" s="30" t="n">
        <f aca="false">IF($A90&gt;$B$5,"",SUM(C$60:C90))</f>
        <v>3.41</v>
      </c>
      <c r="N90" s="30" t="n">
        <f aca="false">IF($A90&gt;$B$5,"",SUM(J$60:J90))</f>
        <v>3.41</v>
      </c>
      <c r="O90" s="30" t="n">
        <f aca="false">IF($A90&gt;$B$5,"",SUM(D$60:D90))</f>
        <v>0.571</v>
      </c>
      <c r="P90" s="30" t="n">
        <f aca="false">IF($A90&gt;$B$5,"",SUM(K$60:K90))</f>
        <v>0.571</v>
      </c>
    </row>
    <row r="91" customFormat="false" ht="15" hidden="false" customHeight="false" outlineLevel="0" collapsed="false">
      <c r="A91" s="27" t="n">
        <f aca="false">A90+1</f>
        <v>32</v>
      </c>
      <c r="B91" s="28" t="n">
        <f aca="false">IF($A91&gt;$B$5,"",$B$3+$B$4*($A91-1))</f>
        <v>103000</v>
      </c>
      <c r="C91" s="29" t="n">
        <f aca="false">IF($A91&gt;$B$5,"",B91*$B$6/1000000)</f>
        <v>0.206</v>
      </c>
      <c r="D91" s="29" t="n">
        <f aca="false">IF($A91&gt;$B$5,"",(B90*$B$8+(B91-B90)*$B$7)*$B$6/1000000)</f>
        <v>0.0275</v>
      </c>
      <c r="E91" s="29" t="n">
        <f aca="false">IF($A91&gt;$B$5,"",IF(MOD($A91,$B$13)=0,B91*$B$7,B90*$B$8+(B91-B90)*$B$7)*$B$6/1000000)</f>
        <v>0.0275</v>
      </c>
      <c r="F91" s="29" t="n">
        <f aca="false">IF($A91&gt;$B$5,"",(B90*$B$9+(B91-B90)*$B$7)*$B$6/1000000)</f>
        <v>0.0175</v>
      </c>
      <c r="G91" s="29" t="n">
        <f aca="false">IF($A91&gt;$B$5,"",(($B$3-$B$14)*$B$8+(B91-($B$3-$B$14))*$B$7)*$B$6/1000000)</f>
        <v>0.2391</v>
      </c>
      <c r="H91" s="28" t="n">
        <f aca="false">IF($A91&gt;$B$5,"",IF(H90+$B$4&gt;$B$11,$B$12,H90+$B$4))</f>
        <v>25000</v>
      </c>
      <c r="I91" s="27" t="n">
        <f aca="false">IF($A91&gt;$B$5,"",IF(H90+$B$4&gt;$B$11,1,0))</f>
        <v>1</v>
      </c>
      <c r="J91" s="29" t="n">
        <f aca="false">IF($A91&gt;$B$5,"",H91*$B$6/1000000)</f>
        <v>0.05</v>
      </c>
      <c r="K91" s="29" t="n">
        <f aca="false">IF($A91&gt;$B$5,"",IF(I91=1,$B$3*$B$8+(H91-$B$3)*$B$7,H90*$B$8+(H91-H90)*$B$7)*$B$6/1000000)</f>
        <v>0.0395</v>
      </c>
      <c r="L91" s="29" t="n">
        <f aca="false">IF($A91&gt;$B$5,"",IF(I91=1,(H90*$B$8+$B$4*$B$7)*$B$6/1000000,0))</f>
        <v>0.0275</v>
      </c>
      <c r="M91" s="30" t="n">
        <f aca="false">IF($A91&gt;$B$5,"",SUM(C$60:C91))</f>
        <v>3.616</v>
      </c>
      <c r="N91" s="30" t="n">
        <f aca="false">IF($A91&gt;$B$5,"",SUM(J$60:J91))</f>
        <v>3.46</v>
      </c>
      <c r="O91" s="30" t="n">
        <f aca="false">IF($A91&gt;$B$5,"",SUM(D$60:D91))</f>
        <v>0.5985</v>
      </c>
      <c r="P91" s="30" t="n">
        <f aca="false">IF($A91&gt;$B$5,"",SUM(K$60:K91))</f>
        <v>0.6105</v>
      </c>
    </row>
    <row r="92" customFormat="false" ht="15" hidden="false" customHeight="false" outlineLevel="0" collapsed="false">
      <c r="A92" s="27" t="n">
        <f aca="false">A91+1</f>
        <v>33</v>
      </c>
      <c r="B92" s="28" t="n">
        <f aca="false">IF($A92&gt;$B$5,"",$B$3+$B$4*($A92-1))</f>
        <v>106000</v>
      </c>
      <c r="C92" s="29" t="n">
        <f aca="false">IF($A92&gt;$B$5,"",B92*$B$6/1000000)</f>
        <v>0.212</v>
      </c>
      <c r="D92" s="29" t="n">
        <f aca="false">IF($A92&gt;$B$5,"",(B91*$B$8+(B92-B91)*$B$7)*$B$6/1000000)</f>
        <v>0.0281</v>
      </c>
      <c r="E92" s="29" t="n">
        <f aca="false">IF($A92&gt;$B$5,"",IF(MOD($A92,$B$13)=0,B92*$B$7,B91*$B$8+(B92-B91)*$B$7)*$B$6/1000000)</f>
        <v>0.0281</v>
      </c>
      <c r="F92" s="29" t="n">
        <f aca="false">IF($A92&gt;$B$5,"",(B91*$B$9+(B92-B91)*$B$7)*$B$6/1000000)</f>
        <v>0.0178</v>
      </c>
      <c r="G92" s="29" t="n">
        <f aca="false">IF($A92&gt;$B$5,"",(($B$3-$B$14)*$B$8+(B92-($B$3-$B$14))*$B$7)*$B$6/1000000)</f>
        <v>0.2466</v>
      </c>
      <c r="H92" s="28" t="n">
        <f aca="false">IF($A92&gt;$B$5,"",IF(H91+$B$4&gt;$B$11,$B$12,H91+$B$4))</f>
        <v>28000</v>
      </c>
      <c r="I92" s="27" t="n">
        <f aca="false">IF($A92&gt;$B$5,"",IF(H91+$B$4&gt;$B$11,1,0))</f>
        <v>0</v>
      </c>
      <c r="J92" s="29" t="n">
        <f aca="false">IF($A92&gt;$B$5,"",H92*$B$6/1000000)</f>
        <v>0.056</v>
      </c>
      <c r="K92" s="29" t="n">
        <f aca="false">IF($A92&gt;$B$5,"",IF(I92=1,$B$3*$B$8+(H92-$B$3)*$B$7,H91*$B$8+(H92-H91)*$B$7)*$B$6/1000000)</f>
        <v>0.0125</v>
      </c>
      <c r="L92" s="29" t="n">
        <f aca="false">IF($A92&gt;$B$5,"",IF(I92=1,(H91*$B$8+$B$4*$B$7)*$B$6/1000000,0))</f>
        <v>0</v>
      </c>
      <c r="M92" s="30" t="n">
        <f aca="false">IF($A92&gt;$B$5,"",SUM(C$60:C92))</f>
        <v>3.828</v>
      </c>
      <c r="N92" s="30" t="n">
        <f aca="false">IF($A92&gt;$B$5,"",SUM(J$60:J92))</f>
        <v>3.516</v>
      </c>
      <c r="O92" s="30" t="n">
        <f aca="false">IF($A92&gt;$B$5,"",SUM(D$60:D92))</f>
        <v>0.6266</v>
      </c>
      <c r="P92" s="30" t="n">
        <f aca="false">IF($A92&gt;$B$5,"",SUM(K$60:K92))</f>
        <v>0.623</v>
      </c>
    </row>
    <row r="93" customFormat="false" ht="15" hidden="false" customHeight="false" outlineLevel="0" collapsed="false">
      <c r="A93" s="27" t="n">
        <f aca="false">A92+1</f>
        <v>34</v>
      </c>
      <c r="B93" s="28" t="n">
        <f aca="false">IF($A93&gt;$B$5,"",$B$3+$B$4*($A93-1))</f>
        <v>109000</v>
      </c>
      <c r="C93" s="29" t="n">
        <f aca="false">IF($A93&gt;$B$5,"",B93*$B$6/1000000)</f>
        <v>0.218</v>
      </c>
      <c r="D93" s="29" t="n">
        <f aca="false">IF($A93&gt;$B$5,"",(B92*$B$8+(B93-B92)*$B$7)*$B$6/1000000)</f>
        <v>0.0287</v>
      </c>
      <c r="E93" s="29" t="n">
        <f aca="false">IF($A93&gt;$B$5,"",IF(MOD($A93,$B$13)=0,B93*$B$7,B92*$B$8+(B93-B92)*$B$7)*$B$6/1000000)</f>
        <v>0.0287</v>
      </c>
      <c r="F93" s="29" t="n">
        <f aca="false">IF($A93&gt;$B$5,"",(B92*$B$9+(B93-B92)*$B$7)*$B$6/1000000)</f>
        <v>0.0181</v>
      </c>
      <c r="G93" s="29" t="n">
        <f aca="false">IF($A93&gt;$B$5,"",(($B$3-$B$14)*$B$8+(B93-($B$3-$B$14))*$B$7)*$B$6/1000000)</f>
        <v>0.2541</v>
      </c>
      <c r="H93" s="28" t="n">
        <f aca="false">IF($A93&gt;$B$5,"",IF(H92+$B$4&gt;$B$11,$B$12,H92+$B$4))</f>
        <v>31000</v>
      </c>
      <c r="I93" s="27" t="n">
        <f aca="false">IF($A93&gt;$B$5,"",IF(H92+$B$4&gt;$B$11,1,0))</f>
        <v>0</v>
      </c>
      <c r="J93" s="29" t="n">
        <f aca="false">IF($A93&gt;$B$5,"",H93*$B$6/1000000)</f>
        <v>0.062</v>
      </c>
      <c r="K93" s="29" t="n">
        <f aca="false">IF($A93&gt;$B$5,"",IF(I93=1,$B$3*$B$8+(H93-$B$3)*$B$7,H92*$B$8+(H93-H92)*$B$7)*$B$6/1000000)</f>
        <v>0.0131</v>
      </c>
      <c r="L93" s="29" t="n">
        <f aca="false">IF($A93&gt;$B$5,"",IF(I93=1,(H92*$B$8+$B$4*$B$7)*$B$6/1000000,0))</f>
        <v>0</v>
      </c>
      <c r="M93" s="30" t="n">
        <f aca="false">IF($A93&gt;$B$5,"",SUM(C$60:C93))</f>
        <v>4.046</v>
      </c>
      <c r="N93" s="30" t="n">
        <f aca="false">IF($A93&gt;$B$5,"",SUM(J$60:J93))</f>
        <v>3.578</v>
      </c>
      <c r="O93" s="30" t="n">
        <f aca="false">IF($A93&gt;$B$5,"",SUM(D$60:D93))</f>
        <v>0.6553</v>
      </c>
      <c r="P93" s="30" t="n">
        <f aca="false">IF($A93&gt;$B$5,"",SUM(K$60:K93))</f>
        <v>0.6361</v>
      </c>
    </row>
    <row r="94" customFormat="false" ht="15" hidden="false" customHeight="false" outlineLevel="0" collapsed="false">
      <c r="A94" s="27" t="n">
        <f aca="false">A93+1</f>
        <v>35</v>
      </c>
      <c r="B94" s="28" t="n">
        <f aca="false">IF($A94&gt;$B$5,"",$B$3+$B$4*($A94-1))</f>
        <v>112000</v>
      </c>
      <c r="C94" s="29" t="n">
        <f aca="false">IF($A94&gt;$B$5,"",B94*$B$6/1000000)</f>
        <v>0.224</v>
      </c>
      <c r="D94" s="29" t="n">
        <f aca="false">IF($A94&gt;$B$5,"",(B93*$B$8+(B94-B93)*$B$7)*$B$6/1000000)</f>
        <v>0.0293</v>
      </c>
      <c r="E94" s="29" t="n">
        <f aca="false">IF($A94&gt;$B$5,"",IF(MOD($A94,$B$13)=0,B94*$B$7,B93*$B$8+(B94-B93)*$B$7)*$B$6/1000000)</f>
        <v>0.0293</v>
      </c>
      <c r="F94" s="29" t="n">
        <f aca="false">IF($A94&gt;$B$5,"",(B93*$B$9+(B94-B93)*$B$7)*$B$6/1000000)</f>
        <v>0.0184</v>
      </c>
      <c r="G94" s="29" t="n">
        <f aca="false">IF($A94&gt;$B$5,"",(($B$3-$B$14)*$B$8+(B94-($B$3-$B$14))*$B$7)*$B$6/1000000)</f>
        <v>0.2616</v>
      </c>
      <c r="H94" s="28" t="n">
        <f aca="false">IF($A94&gt;$B$5,"",IF(H93+$B$4&gt;$B$11,$B$12,H93+$B$4))</f>
        <v>34000</v>
      </c>
      <c r="I94" s="27" t="n">
        <f aca="false">IF($A94&gt;$B$5,"",IF(H93+$B$4&gt;$B$11,1,0))</f>
        <v>0</v>
      </c>
      <c r="J94" s="29" t="n">
        <f aca="false">IF($A94&gt;$B$5,"",H94*$B$6/1000000)</f>
        <v>0.068</v>
      </c>
      <c r="K94" s="29" t="n">
        <f aca="false">IF($A94&gt;$B$5,"",IF(I94=1,$B$3*$B$8+(H94-$B$3)*$B$7,H93*$B$8+(H94-H93)*$B$7)*$B$6/1000000)</f>
        <v>0.0137</v>
      </c>
      <c r="L94" s="29" t="n">
        <f aca="false">IF($A94&gt;$B$5,"",IF(I94=1,(H93*$B$8+$B$4*$B$7)*$B$6/1000000,0))</f>
        <v>0</v>
      </c>
      <c r="M94" s="30" t="n">
        <f aca="false">IF($A94&gt;$B$5,"",SUM(C$60:C94))</f>
        <v>4.27</v>
      </c>
      <c r="N94" s="30" t="n">
        <f aca="false">IF($A94&gt;$B$5,"",SUM(J$60:J94))</f>
        <v>3.646</v>
      </c>
      <c r="O94" s="30" t="n">
        <f aca="false">IF($A94&gt;$B$5,"",SUM(D$60:D94))</f>
        <v>0.6846</v>
      </c>
      <c r="P94" s="30" t="n">
        <f aca="false">IF($A94&gt;$B$5,"",SUM(K$60:K94))</f>
        <v>0.6498</v>
      </c>
    </row>
    <row r="95" customFormat="false" ht="15" hidden="false" customHeight="false" outlineLevel="0" collapsed="false">
      <c r="A95" s="27" t="n">
        <f aca="false">A94+1</f>
        <v>36</v>
      </c>
      <c r="B95" s="28" t="n">
        <f aca="false">IF($A95&gt;$B$5,"",$B$3+$B$4*($A95-1))</f>
        <v>115000</v>
      </c>
      <c r="C95" s="29" t="n">
        <f aca="false">IF($A95&gt;$B$5,"",B95*$B$6/1000000)</f>
        <v>0.23</v>
      </c>
      <c r="D95" s="29" t="n">
        <f aca="false">IF($A95&gt;$B$5,"",(B94*$B$8+(B95-B94)*$B$7)*$B$6/1000000)</f>
        <v>0.0299</v>
      </c>
      <c r="E95" s="29" t="n">
        <f aca="false">IF($A95&gt;$B$5,"",IF(MOD($A95,$B$13)=0,B95*$B$7,B94*$B$8+(B95-B94)*$B$7)*$B$6/1000000)</f>
        <v>0.0299</v>
      </c>
      <c r="F95" s="29" t="n">
        <f aca="false">IF($A95&gt;$B$5,"",(B94*$B$9+(B95-B94)*$B$7)*$B$6/1000000)</f>
        <v>0.0187</v>
      </c>
      <c r="G95" s="29" t="n">
        <f aca="false">IF($A95&gt;$B$5,"",(($B$3-$B$14)*$B$8+(B95-($B$3-$B$14))*$B$7)*$B$6/1000000)</f>
        <v>0.2691</v>
      </c>
      <c r="H95" s="28" t="n">
        <f aca="false">IF($A95&gt;$B$5,"",IF(H94+$B$4&gt;$B$11,$B$12,H94+$B$4))</f>
        <v>37000</v>
      </c>
      <c r="I95" s="27" t="n">
        <f aca="false">IF($A95&gt;$B$5,"",IF(H94+$B$4&gt;$B$11,1,0))</f>
        <v>0</v>
      </c>
      <c r="J95" s="29" t="n">
        <f aca="false">IF($A95&gt;$B$5,"",H95*$B$6/1000000)</f>
        <v>0.074</v>
      </c>
      <c r="K95" s="29" t="n">
        <f aca="false">IF($A95&gt;$B$5,"",IF(I95=1,$B$3*$B$8+(H95-$B$3)*$B$7,H94*$B$8+(H95-H94)*$B$7)*$B$6/1000000)</f>
        <v>0.0143</v>
      </c>
      <c r="L95" s="29" t="n">
        <f aca="false">IF($A95&gt;$B$5,"",IF(I95=1,(H94*$B$8+$B$4*$B$7)*$B$6/1000000,0))</f>
        <v>0</v>
      </c>
      <c r="M95" s="30" t="n">
        <f aca="false">IF($A95&gt;$B$5,"",SUM(C$60:C95))</f>
        <v>4.5</v>
      </c>
      <c r="N95" s="30" t="n">
        <f aca="false">IF($A95&gt;$B$5,"",SUM(J$60:J95))</f>
        <v>3.72</v>
      </c>
      <c r="O95" s="30" t="n">
        <f aca="false">IF($A95&gt;$B$5,"",SUM(D$60:D95))</f>
        <v>0.7145</v>
      </c>
      <c r="P95" s="30" t="n">
        <f aca="false">IF($A95&gt;$B$5,"",SUM(K$60:K95))</f>
        <v>0.6641</v>
      </c>
    </row>
    <row r="96" customFormat="false" ht="15" hidden="false" customHeight="false" outlineLevel="0" collapsed="false">
      <c r="A96" s="27" t="n">
        <f aca="false">A95+1</f>
        <v>37</v>
      </c>
      <c r="B96" s="28" t="n">
        <f aca="false">IF($A96&gt;$B$5,"",$B$3+$B$4*($A96-1))</f>
        <v>118000</v>
      </c>
      <c r="C96" s="29" t="n">
        <f aca="false">IF($A96&gt;$B$5,"",B96*$B$6/1000000)</f>
        <v>0.236</v>
      </c>
      <c r="D96" s="29" t="n">
        <f aca="false">IF($A96&gt;$B$5,"",(B95*$B$8+(B96-B95)*$B$7)*$B$6/1000000)</f>
        <v>0.0305</v>
      </c>
      <c r="E96" s="29" t="n">
        <f aca="false">IF($A96&gt;$B$5,"",IF(MOD($A96,$B$13)=0,B96*$B$7,B95*$B$8+(B96-B95)*$B$7)*$B$6/1000000)</f>
        <v>0.0305</v>
      </c>
      <c r="F96" s="29" t="n">
        <f aca="false">IF($A96&gt;$B$5,"",(B95*$B$9+(B96-B95)*$B$7)*$B$6/1000000)</f>
        <v>0.019</v>
      </c>
      <c r="G96" s="29" t="n">
        <f aca="false">IF($A96&gt;$B$5,"",(($B$3-$B$14)*$B$8+(B96-($B$3-$B$14))*$B$7)*$B$6/1000000)</f>
        <v>0.2766</v>
      </c>
      <c r="H96" s="28" t="n">
        <f aca="false">IF($A96&gt;$B$5,"",IF(H95+$B$4&gt;$B$11,$B$12,H95+$B$4))</f>
        <v>40000</v>
      </c>
      <c r="I96" s="27" t="n">
        <f aca="false">IF($A96&gt;$B$5,"",IF(H95+$B$4&gt;$B$11,1,0))</f>
        <v>0</v>
      </c>
      <c r="J96" s="29" t="n">
        <f aca="false">IF($A96&gt;$B$5,"",H96*$B$6/1000000)</f>
        <v>0.08</v>
      </c>
      <c r="K96" s="29" t="n">
        <f aca="false">IF($A96&gt;$B$5,"",IF(I96=1,$B$3*$B$8+(H96-$B$3)*$B$7,H95*$B$8+(H96-H95)*$B$7)*$B$6/1000000)</f>
        <v>0.0149</v>
      </c>
      <c r="L96" s="29" t="n">
        <f aca="false">IF($A96&gt;$B$5,"",IF(I96=1,(H95*$B$8+$B$4*$B$7)*$B$6/1000000,0))</f>
        <v>0</v>
      </c>
      <c r="M96" s="30" t="n">
        <f aca="false">IF($A96&gt;$B$5,"",SUM(C$60:C96))</f>
        <v>4.736</v>
      </c>
      <c r="N96" s="30" t="n">
        <f aca="false">IF($A96&gt;$B$5,"",SUM(J$60:J96))</f>
        <v>3.8</v>
      </c>
      <c r="O96" s="30" t="n">
        <f aca="false">IF($A96&gt;$B$5,"",SUM(D$60:D96))</f>
        <v>0.745</v>
      </c>
      <c r="P96" s="30" t="n">
        <f aca="false">IF($A96&gt;$B$5,"",SUM(K$60:K96))</f>
        <v>0.679</v>
      </c>
    </row>
    <row r="97" customFormat="false" ht="15" hidden="false" customHeight="false" outlineLevel="0" collapsed="false">
      <c r="A97" s="27" t="n">
        <f aca="false">A96+1</f>
        <v>38</v>
      </c>
      <c r="B97" s="28" t="n">
        <f aca="false">IF($A97&gt;$B$5,"",$B$3+$B$4*($A97-1))</f>
        <v>121000</v>
      </c>
      <c r="C97" s="29" t="n">
        <f aca="false">IF($A97&gt;$B$5,"",B97*$B$6/1000000)</f>
        <v>0.242</v>
      </c>
      <c r="D97" s="29" t="n">
        <f aca="false">IF($A97&gt;$B$5,"",(B96*$B$8+(B97-B96)*$B$7)*$B$6/1000000)</f>
        <v>0.0311</v>
      </c>
      <c r="E97" s="29" t="n">
        <f aca="false">IF($A97&gt;$B$5,"",IF(MOD($A97,$B$13)=0,B97*$B$7,B96*$B$8+(B97-B96)*$B$7)*$B$6/1000000)</f>
        <v>0.0311</v>
      </c>
      <c r="F97" s="29" t="n">
        <f aca="false">IF($A97&gt;$B$5,"",(B96*$B$9+(B97-B96)*$B$7)*$B$6/1000000)</f>
        <v>0.0193</v>
      </c>
      <c r="G97" s="29" t="n">
        <f aca="false">IF($A97&gt;$B$5,"",(($B$3-$B$14)*$B$8+(B97-($B$3-$B$14))*$B$7)*$B$6/1000000)</f>
        <v>0.2841</v>
      </c>
      <c r="H97" s="28" t="n">
        <f aca="false">IF($A97&gt;$B$5,"",IF(H96+$B$4&gt;$B$11,$B$12,H96+$B$4))</f>
        <v>43000</v>
      </c>
      <c r="I97" s="27" t="n">
        <f aca="false">IF($A97&gt;$B$5,"",IF(H96+$B$4&gt;$B$11,1,0))</f>
        <v>0</v>
      </c>
      <c r="J97" s="29" t="n">
        <f aca="false">IF($A97&gt;$B$5,"",H97*$B$6/1000000)</f>
        <v>0.086</v>
      </c>
      <c r="K97" s="29" t="n">
        <f aca="false">IF($A97&gt;$B$5,"",IF(I97=1,$B$3*$B$8+(H97-$B$3)*$B$7,H96*$B$8+(H97-H96)*$B$7)*$B$6/1000000)</f>
        <v>0.0155</v>
      </c>
      <c r="L97" s="29" t="n">
        <f aca="false">IF($A97&gt;$B$5,"",IF(I97=1,(H96*$B$8+$B$4*$B$7)*$B$6/1000000,0))</f>
        <v>0</v>
      </c>
      <c r="M97" s="30" t="n">
        <f aca="false">IF($A97&gt;$B$5,"",SUM(C$60:C97))</f>
        <v>4.978</v>
      </c>
      <c r="N97" s="30" t="n">
        <f aca="false">IF($A97&gt;$B$5,"",SUM(J$60:J97))</f>
        <v>3.886</v>
      </c>
      <c r="O97" s="30" t="n">
        <f aca="false">IF($A97&gt;$B$5,"",SUM(D$60:D97))</f>
        <v>0.7761</v>
      </c>
      <c r="P97" s="30" t="n">
        <f aca="false">IF($A97&gt;$B$5,"",SUM(K$60:K97))</f>
        <v>0.6945</v>
      </c>
    </row>
    <row r="98" customFormat="false" ht="15" hidden="false" customHeight="false" outlineLevel="0" collapsed="false">
      <c r="A98" s="27" t="n">
        <f aca="false">A97+1</f>
        <v>39</v>
      </c>
      <c r="B98" s="28" t="n">
        <f aca="false">IF($A98&gt;$B$5,"",$B$3+$B$4*($A98-1))</f>
        <v>124000</v>
      </c>
      <c r="C98" s="29" t="n">
        <f aca="false">IF($A98&gt;$B$5,"",B98*$B$6/1000000)</f>
        <v>0.248</v>
      </c>
      <c r="D98" s="29" t="n">
        <f aca="false">IF($A98&gt;$B$5,"",(B97*$B$8+(B98-B97)*$B$7)*$B$6/1000000)</f>
        <v>0.0317</v>
      </c>
      <c r="E98" s="29" t="n">
        <f aca="false">IF($A98&gt;$B$5,"",IF(MOD($A98,$B$13)=0,B98*$B$7,B97*$B$8+(B98-B97)*$B$7)*$B$6/1000000)</f>
        <v>0.0317</v>
      </c>
      <c r="F98" s="29" t="n">
        <f aca="false">IF($A98&gt;$B$5,"",(B97*$B$9+(B98-B97)*$B$7)*$B$6/1000000)</f>
        <v>0.0196</v>
      </c>
      <c r="G98" s="29" t="n">
        <f aca="false">IF($A98&gt;$B$5,"",(($B$3-$B$14)*$B$8+(B98-($B$3-$B$14))*$B$7)*$B$6/1000000)</f>
        <v>0.2916</v>
      </c>
      <c r="H98" s="28" t="n">
        <f aca="false">IF($A98&gt;$B$5,"",IF(H97+$B$4&gt;$B$11,$B$12,H97+$B$4))</f>
        <v>46000</v>
      </c>
      <c r="I98" s="27" t="n">
        <f aca="false">IF($A98&gt;$B$5,"",IF(H97+$B$4&gt;$B$11,1,0))</f>
        <v>0</v>
      </c>
      <c r="J98" s="29" t="n">
        <f aca="false">IF($A98&gt;$B$5,"",H98*$B$6/1000000)</f>
        <v>0.092</v>
      </c>
      <c r="K98" s="29" t="n">
        <f aca="false">IF($A98&gt;$B$5,"",IF(I98=1,$B$3*$B$8+(H98-$B$3)*$B$7,H97*$B$8+(H98-H97)*$B$7)*$B$6/1000000)</f>
        <v>0.0161</v>
      </c>
      <c r="L98" s="29" t="n">
        <f aca="false">IF($A98&gt;$B$5,"",IF(I98=1,(H97*$B$8+$B$4*$B$7)*$B$6/1000000,0))</f>
        <v>0</v>
      </c>
      <c r="M98" s="30" t="n">
        <f aca="false">IF($A98&gt;$B$5,"",SUM(C$60:C98))</f>
        <v>5.226</v>
      </c>
      <c r="N98" s="30" t="n">
        <f aca="false">IF($A98&gt;$B$5,"",SUM(J$60:J98))</f>
        <v>3.978</v>
      </c>
      <c r="O98" s="30" t="n">
        <f aca="false">IF($A98&gt;$B$5,"",SUM(D$60:D98))</f>
        <v>0.8078</v>
      </c>
      <c r="P98" s="30" t="n">
        <f aca="false">IF($A98&gt;$B$5,"",SUM(K$60:K98))</f>
        <v>0.7106</v>
      </c>
    </row>
    <row r="99" customFormat="false" ht="15" hidden="false" customHeight="false" outlineLevel="0" collapsed="false">
      <c r="A99" s="27" t="n">
        <f aca="false">A98+1</f>
        <v>40</v>
      </c>
      <c r="B99" s="28" t="n">
        <f aca="false">IF($A99&gt;$B$5,"",$B$3+$B$4*($A99-1))</f>
        <v>127000</v>
      </c>
      <c r="C99" s="29" t="n">
        <f aca="false">IF($A99&gt;$B$5,"",B99*$B$6/1000000)</f>
        <v>0.254</v>
      </c>
      <c r="D99" s="29" t="n">
        <f aca="false">IF($A99&gt;$B$5,"",(B98*$B$8+(B99-B98)*$B$7)*$B$6/1000000)</f>
        <v>0.0323</v>
      </c>
      <c r="E99" s="29" t="n">
        <f aca="false">IF($A99&gt;$B$5,"",IF(MOD($A99,$B$13)=0,B99*$B$7,B98*$B$8+(B99-B98)*$B$7)*$B$6/1000000)</f>
        <v>0.3175</v>
      </c>
      <c r="F99" s="29" t="n">
        <f aca="false">IF($A99&gt;$B$5,"",(B98*$B$9+(B99-B98)*$B$7)*$B$6/1000000)</f>
        <v>0.0199</v>
      </c>
      <c r="G99" s="29" t="n">
        <f aca="false">IF($A99&gt;$B$5,"",(($B$3-$B$14)*$B$8+(B99-($B$3-$B$14))*$B$7)*$B$6/1000000)</f>
        <v>0.2991</v>
      </c>
      <c r="H99" s="28" t="n">
        <f aca="false">IF($A99&gt;$B$5,"",IF(H98+$B$4&gt;$B$11,$B$12,H98+$B$4))</f>
        <v>49000</v>
      </c>
      <c r="I99" s="27" t="n">
        <f aca="false">IF($A99&gt;$B$5,"",IF(H98+$B$4&gt;$B$11,1,0))</f>
        <v>0</v>
      </c>
      <c r="J99" s="29" t="n">
        <f aca="false">IF($A99&gt;$B$5,"",H99*$B$6/1000000)</f>
        <v>0.098</v>
      </c>
      <c r="K99" s="29" t="n">
        <f aca="false">IF($A99&gt;$B$5,"",IF(I99=1,$B$3*$B$8+(H99-$B$3)*$B$7,H98*$B$8+(H99-H98)*$B$7)*$B$6/1000000)</f>
        <v>0.0167</v>
      </c>
      <c r="L99" s="29" t="n">
        <f aca="false">IF($A99&gt;$B$5,"",IF(I99=1,(H98*$B$8+$B$4*$B$7)*$B$6/1000000,0))</f>
        <v>0</v>
      </c>
      <c r="M99" s="30" t="n">
        <f aca="false">IF($A99&gt;$B$5,"",SUM(C$60:C99))</f>
        <v>5.48</v>
      </c>
      <c r="N99" s="30" t="n">
        <f aca="false">IF($A99&gt;$B$5,"",SUM(J$60:J99))</f>
        <v>4.076</v>
      </c>
      <c r="O99" s="30" t="n">
        <f aca="false">IF($A99&gt;$B$5,"",SUM(D$60:D99))</f>
        <v>0.8401</v>
      </c>
      <c r="P99" s="30" t="n">
        <f aca="false">IF($A99&gt;$B$5,"",SUM(K$60:K99))</f>
        <v>0.7273</v>
      </c>
    </row>
    <row r="100" customFormat="false" ht="15" hidden="false" customHeight="false" outlineLevel="0" collapsed="false">
      <c r="A100" s="27" t="n">
        <f aca="false">A99+1</f>
        <v>41</v>
      </c>
      <c r="B100" s="28" t="n">
        <f aca="false">IF($A100&gt;$B$5,"",$B$3+$B$4*($A100-1))</f>
        <v>130000</v>
      </c>
      <c r="C100" s="29" t="n">
        <f aca="false">IF($A100&gt;$B$5,"",B100*$B$6/1000000)</f>
        <v>0.26</v>
      </c>
      <c r="D100" s="29" t="n">
        <f aca="false">IF($A100&gt;$B$5,"",(B99*$B$8+(B100-B99)*$B$7)*$B$6/1000000)</f>
        <v>0.0329</v>
      </c>
      <c r="E100" s="29" t="n">
        <f aca="false">IF($A100&gt;$B$5,"",IF(MOD($A100,$B$13)=0,B100*$B$7,B99*$B$8+(B100-B99)*$B$7)*$B$6/1000000)</f>
        <v>0.0329</v>
      </c>
      <c r="F100" s="29" t="n">
        <f aca="false">IF($A100&gt;$B$5,"",(B99*$B$9+(B100-B99)*$B$7)*$B$6/1000000)</f>
        <v>0.0202</v>
      </c>
      <c r="G100" s="29" t="n">
        <f aca="false">IF($A100&gt;$B$5,"",(($B$3-$B$14)*$B$8+(B100-($B$3-$B$14))*$B$7)*$B$6/1000000)</f>
        <v>0.3066</v>
      </c>
      <c r="H100" s="28" t="n">
        <f aca="false">IF($A100&gt;$B$5,"",IF(H99+$B$4&gt;$B$11,$B$12,H99+$B$4))</f>
        <v>52000</v>
      </c>
      <c r="I100" s="27" t="n">
        <f aca="false">IF($A100&gt;$B$5,"",IF(H99+$B$4&gt;$B$11,1,0))</f>
        <v>0</v>
      </c>
      <c r="J100" s="29" t="n">
        <f aca="false">IF($A100&gt;$B$5,"",H100*$B$6/1000000)</f>
        <v>0.104</v>
      </c>
      <c r="K100" s="29" t="n">
        <f aca="false">IF($A100&gt;$B$5,"",IF(I100=1,$B$3*$B$8+(H100-$B$3)*$B$7,H99*$B$8+(H100-H99)*$B$7)*$B$6/1000000)</f>
        <v>0.0173</v>
      </c>
      <c r="L100" s="29" t="n">
        <f aca="false">IF($A100&gt;$B$5,"",IF(I100=1,(H99*$B$8+$B$4*$B$7)*$B$6/1000000,0))</f>
        <v>0</v>
      </c>
      <c r="M100" s="30" t="n">
        <f aca="false">IF($A100&gt;$B$5,"",SUM(C$60:C100))</f>
        <v>5.74</v>
      </c>
      <c r="N100" s="30" t="n">
        <f aca="false">IF($A100&gt;$B$5,"",SUM(J$60:J100))</f>
        <v>4.18</v>
      </c>
      <c r="O100" s="30" t="n">
        <f aca="false">IF($A100&gt;$B$5,"",SUM(D$60:D100))</f>
        <v>0.873</v>
      </c>
      <c r="P100" s="30" t="n">
        <f aca="false">IF($A100&gt;$B$5,"",SUM(K$60:K100))</f>
        <v>0.7446</v>
      </c>
    </row>
    <row r="101" customFormat="false" ht="15" hidden="false" customHeight="false" outlineLevel="0" collapsed="false">
      <c r="A101" s="27" t="n">
        <f aca="false">A100+1</f>
        <v>42</v>
      </c>
      <c r="B101" s="28" t="n">
        <f aca="false">IF($A101&gt;$B$5,"",$B$3+$B$4*($A101-1))</f>
        <v>133000</v>
      </c>
      <c r="C101" s="29" t="n">
        <f aca="false">IF($A101&gt;$B$5,"",B101*$B$6/1000000)</f>
        <v>0.266</v>
      </c>
      <c r="D101" s="29" t="n">
        <f aca="false">IF($A101&gt;$B$5,"",(B100*$B$8+(B101-B100)*$B$7)*$B$6/1000000)</f>
        <v>0.0335</v>
      </c>
      <c r="E101" s="29" t="n">
        <f aca="false">IF($A101&gt;$B$5,"",IF(MOD($A101,$B$13)=0,B101*$B$7,B100*$B$8+(B101-B100)*$B$7)*$B$6/1000000)</f>
        <v>0.0335</v>
      </c>
      <c r="F101" s="29" t="n">
        <f aca="false">IF($A101&gt;$B$5,"",(B100*$B$9+(B101-B100)*$B$7)*$B$6/1000000)</f>
        <v>0.0205</v>
      </c>
      <c r="G101" s="29" t="n">
        <f aca="false">IF($A101&gt;$B$5,"",(($B$3-$B$14)*$B$8+(B101-($B$3-$B$14))*$B$7)*$B$6/1000000)</f>
        <v>0.3141</v>
      </c>
      <c r="H101" s="28" t="n">
        <f aca="false">IF($A101&gt;$B$5,"",IF(H100+$B$4&gt;$B$11,$B$12,H100+$B$4))</f>
        <v>55000</v>
      </c>
      <c r="I101" s="27" t="n">
        <f aca="false">IF($A101&gt;$B$5,"",IF(H100+$B$4&gt;$B$11,1,0))</f>
        <v>0</v>
      </c>
      <c r="J101" s="29" t="n">
        <f aca="false">IF($A101&gt;$B$5,"",H101*$B$6/1000000)</f>
        <v>0.11</v>
      </c>
      <c r="K101" s="29" t="n">
        <f aca="false">IF($A101&gt;$B$5,"",IF(I101=1,$B$3*$B$8+(H101-$B$3)*$B$7,H100*$B$8+(H101-H100)*$B$7)*$B$6/1000000)</f>
        <v>0.0179</v>
      </c>
      <c r="L101" s="29" t="n">
        <f aca="false">IF($A101&gt;$B$5,"",IF(I101=1,(H100*$B$8+$B$4*$B$7)*$B$6/1000000,0))</f>
        <v>0</v>
      </c>
      <c r="M101" s="30" t="n">
        <f aca="false">IF($A101&gt;$B$5,"",SUM(C$60:C101))</f>
        <v>6.006</v>
      </c>
      <c r="N101" s="30" t="n">
        <f aca="false">IF($A101&gt;$B$5,"",SUM(J$60:J101))</f>
        <v>4.29</v>
      </c>
      <c r="O101" s="30" t="n">
        <f aca="false">IF($A101&gt;$B$5,"",SUM(D$60:D101))</f>
        <v>0.9065</v>
      </c>
      <c r="P101" s="30" t="n">
        <f aca="false">IF($A101&gt;$B$5,"",SUM(K$60:K101))</f>
        <v>0.7625</v>
      </c>
    </row>
    <row r="102" customFormat="false" ht="15" hidden="false" customHeight="false" outlineLevel="0" collapsed="false">
      <c r="A102" s="27" t="n">
        <f aca="false">A101+1</f>
        <v>43</v>
      </c>
      <c r="B102" s="28" t="n">
        <f aca="false">IF($A102&gt;$B$5,"",$B$3+$B$4*($A102-1))</f>
        <v>136000</v>
      </c>
      <c r="C102" s="29" t="n">
        <f aca="false">IF($A102&gt;$B$5,"",B102*$B$6/1000000)</f>
        <v>0.272</v>
      </c>
      <c r="D102" s="29" t="n">
        <f aca="false">IF($A102&gt;$B$5,"",(B101*$B$8+(B102-B101)*$B$7)*$B$6/1000000)</f>
        <v>0.0341</v>
      </c>
      <c r="E102" s="29" t="n">
        <f aca="false">IF($A102&gt;$B$5,"",IF(MOD($A102,$B$13)=0,B102*$B$7,B101*$B$8+(B102-B101)*$B$7)*$B$6/1000000)</f>
        <v>0.0341</v>
      </c>
      <c r="F102" s="29" t="n">
        <f aca="false">IF($A102&gt;$B$5,"",(B101*$B$9+(B102-B101)*$B$7)*$B$6/1000000)</f>
        <v>0.0208</v>
      </c>
      <c r="G102" s="29" t="n">
        <f aca="false">IF($A102&gt;$B$5,"",(($B$3-$B$14)*$B$8+(B102-($B$3-$B$14))*$B$7)*$B$6/1000000)</f>
        <v>0.3216</v>
      </c>
      <c r="H102" s="28" t="n">
        <f aca="false">IF($A102&gt;$B$5,"",IF(H101+$B$4&gt;$B$11,$B$12,H101+$B$4))</f>
        <v>58000</v>
      </c>
      <c r="I102" s="27" t="n">
        <f aca="false">IF($A102&gt;$B$5,"",IF(H101+$B$4&gt;$B$11,1,0))</f>
        <v>0</v>
      </c>
      <c r="J102" s="29" t="n">
        <f aca="false">IF($A102&gt;$B$5,"",H102*$B$6/1000000)</f>
        <v>0.116</v>
      </c>
      <c r="K102" s="29" t="n">
        <f aca="false">IF($A102&gt;$B$5,"",IF(I102=1,$B$3*$B$8+(H102-$B$3)*$B$7,H101*$B$8+(H102-H101)*$B$7)*$B$6/1000000)</f>
        <v>0.0185</v>
      </c>
      <c r="L102" s="29" t="n">
        <f aca="false">IF($A102&gt;$B$5,"",IF(I102=1,(H101*$B$8+$B$4*$B$7)*$B$6/1000000,0))</f>
        <v>0</v>
      </c>
      <c r="M102" s="30" t="n">
        <f aca="false">IF($A102&gt;$B$5,"",SUM(C$60:C102))</f>
        <v>6.278</v>
      </c>
      <c r="N102" s="30" t="n">
        <f aca="false">IF($A102&gt;$B$5,"",SUM(J$60:J102))</f>
        <v>4.406</v>
      </c>
      <c r="O102" s="30" t="n">
        <f aca="false">IF($A102&gt;$B$5,"",SUM(D$60:D102))</f>
        <v>0.9406</v>
      </c>
      <c r="P102" s="30" t="n">
        <f aca="false">IF($A102&gt;$B$5,"",SUM(K$60:K102))</f>
        <v>0.781</v>
      </c>
    </row>
    <row r="103" customFormat="false" ht="15" hidden="false" customHeight="false" outlineLevel="0" collapsed="false">
      <c r="A103" s="27" t="n">
        <f aca="false">A102+1</f>
        <v>44</v>
      </c>
      <c r="B103" s="28" t="n">
        <f aca="false">IF($A103&gt;$B$5,"",$B$3+$B$4*($A103-1))</f>
        <v>139000</v>
      </c>
      <c r="C103" s="29" t="n">
        <f aca="false">IF($A103&gt;$B$5,"",B103*$B$6/1000000)</f>
        <v>0.278</v>
      </c>
      <c r="D103" s="29" t="n">
        <f aca="false">IF($A103&gt;$B$5,"",(B102*$B$8+(B103-B102)*$B$7)*$B$6/1000000)</f>
        <v>0.0347</v>
      </c>
      <c r="E103" s="29" t="n">
        <f aca="false">IF($A103&gt;$B$5,"",IF(MOD($A103,$B$13)=0,B103*$B$7,B102*$B$8+(B103-B102)*$B$7)*$B$6/1000000)</f>
        <v>0.0347</v>
      </c>
      <c r="F103" s="29" t="n">
        <f aca="false">IF($A103&gt;$B$5,"",(B102*$B$9+(B103-B102)*$B$7)*$B$6/1000000)</f>
        <v>0.0211</v>
      </c>
      <c r="G103" s="29" t="n">
        <f aca="false">IF($A103&gt;$B$5,"",(($B$3-$B$14)*$B$8+(B103-($B$3-$B$14))*$B$7)*$B$6/1000000)</f>
        <v>0.3291</v>
      </c>
      <c r="H103" s="28" t="n">
        <f aca="false">IF($A103&gt;$B$5,"",IF(H102+$B$4&gt;$B$11,$B$12,H102+$B$4))</f>
        <v>61000</v>
      </c>
      <c r="I103" s="27" t="n">
        <f aca="false">IF($A103&gt;$B$5,"",IF(H102+$B$4&gt;$B$11,1,0))</f>
        <v>0</v>
      </c>
      <c r="J103" s="29" t="n">
        <f aca="false">IF($A103&gt;$B$5,"",H103*$B$6/1000000)</f>
        <v>0.122</v>
      </c>
      <c r="K103" s="29" t="n">
        <f aca="false">IF($A103&gt;$B$5,"",IF(I103=1,$B$3*$B$8+(H103-$B$3)*$B$7,H102*$B$8+(H103-H102)*$B$7)*$B$6/1000000)</f>
        <v>0.0191</v>
      </c>
      <c r="L103" s="29" t="n">
        <f aca="false">IF($A103&gt;$B$5,"",IF(I103=1,(H102*$B$8+$B$4*$B$7)*$B$6/1000000,0))</f>
        <v>0</v>
      </c>
      <c r="M103" s="30" t="n">
        <f aca="false">IF($A103&gt;$B$5,"",SUM(C$60:C103))</f>
        <v>6.556</v>
      </c>
      <c r="N103" s="30" t="n">
        <f aca="false">IF($A103&gt;$B$5,"",SUM(J$60:J103))</f>
        <v>4.528</v>
      </c>
      <c r="O103" s="30" t="n">
        <f aca="false">IF($A103&gt;$B$5,"",SUM(D$60:D103))</f>
        <v>0.9753</v>
      </c>
      <c r="P103" s="30" t="n">
        <f aca="false">IF($A103&gt;$B$5,"",SUM(K$60:K103))</f>
        <v>0.8001</v>
      </c>
    </row>
    <row r="104" customFormat="false" ht="15" hidden="false" customHeight="false" outlineLevel="0" collapsed="false">
      <c r="A104" s="27" t="n">
        <f aca="false">A103+1</f>
        <v>45</v>
      </c>
      <c r="B104" s="28" t="n">
        <f aca="false">IF($A104&gt;$B$5,"",$B$3+$B$4*($A104-1))</f>
        <v>142000</v>
      </c>
      <c r="C104" s="29" t="n">
        <f aca="false">IF($A104&gt;$B$5,"",B104*$B$6/1000000)</f>
        <v>0.284</v>
      </c>
      <c r="D104" s="29" t="n">
        <f aca="false">IF($A104&gt;$B$5,"",(B103*$B$8+(B104-B103)*$B$7)*$B$6/1000000)</f>
        <v>0.0353</v>
      </c>
      <c r="E104" s="29" t="n">
        <f aca="false">IF($A104&gt;$B$5,"",IF(MOD($A104,$B$13)=0,B104*$B$7,B103*$B$8+(B104-B103)*$B$7)*$B$6/1000000)</f>
        <v>0.0353</v>
      </c>
      <c r="F104" s="29" t="n">
        <f aca="false">IF($A104&gt;$B$5,"",(B103*$B$9+(B104-B103)*$B$7)*$B$6/1000000)</f>
        <v>0.0214</v>
      </c>
      <c r="G104" s="29" t="n">
        <f aca="false">IF($A104&gt;$B$5,"",(($B$3-$B$14)*$B$8+(B104-($B$3-$B$14))*$B$7)*$B$6/1000000)</f>
        <v>0.3366</v>
      </c>
      <c r="H104" s="28" t="n">
        <f aca="false">IF($A104&gt;$B$5,"",IF(H103+$B$4&gt;$B$11,$B$12,H103+$B$4))</f>
        <v>64000</v>
      </c>
      <c r="I104" s="27" t="n">
        <f aca="false">IF($A104&gt;$B$5,"",IF(H103+$B$4&gt;$B$11,1,0))</f>
        <v>0</v>
      </c>
      <c r="J104" s="29" t="n">
        <f aca="false">IF($A104&gt;$B$5,"",H104*$B$6/1000000)</f>
        <v>0.128</v>
      </c>
      <c r="K104" s="29" t="n">
        <f aca="false">IF($A104&gt;$B$5,"",IF(I104=1,$B$3*$B$8+(H104-$B$3)*$B$7,H103*$B$8+(H104-H103)*$B$7)*$B$6/1000000)</f>
        <v>0.0197</v>
      </c>
      <c r="L104" s="29" t="n">
        <f aca="false">IF($A104&gt;$B$5,"",IF(I104=1,(H103*$B$8+$B$4*$B$7)*$B$6/1000000,0))</f>
        <v>0</v>
      </c>
      <c r="M104" s="30" t="n">
        <f aca="false">IF($A104&gt;$B$5,"",SUM(C$60:C104))</f>
        <v>6.84</v>
      </c>
      <c r="N104" s="30" t="n">
        <f aca="false">IF($A104&gt;$B$5,"",SUM(J$60:J104))</f>
        <v>4.656</v>
      </c>
      <c r="O104" s="30" t="n">
        <f aca="false">IF($A104&gt;$B$5,"",SUM(D$60:D104))</f>
        <v>1.0106</v>
      </c>
      <c r="P104" s="30" t="n">
        <f aca="false">IF($A104&gt;$B$5,"",SUM(K$60:K104))</f>
        <v>0.8198</v>
      </c>
    </row>
    <row r="105" customFormat="false" ht="15" hidden="false" customHeight="false" outlineLevel="0" collapsed="false">
      <c r="A105" s="27" t="n">
        <f aca="false">A104+1</f>
        <v>46</v>
      </c>
      <c r="B105" s="28" t="n">
        <f aca="false">IF($A105&gt;$B$5,"",$B$3+$B$4*($A105-1))</f>
        <v>145000</v>
      </c>
      <c r="C105" s="29" t="n">
        <f aca="false">IF($A105&gt;$B$5,"",B105*$B$6/1000000)</f>
        <v>0.29</v>
      </c>
      <c r="D105" s="29" t="n">
        <f aca="false">IF($A105&gt;$B$5,"",(B104*$B$8+(B105-B104)*$B$7)*$B$6/1000000)</f>
        <v>0.0359</v>
      </c>
      <c r="E105" s="29" t="n">
        <f aca="false">IF($A105&gt;$B$5,"",IF(MOD($A105,$B$13)=0,B105*$B$7,B104*$B$8+(B105-B104)*$B$7)*$B$6/1000000)</f>
        <v>0.0359</v>
      </c>
      <c r="F105" s="29" t="n">
        <f aca="false">IF($A105&gt;$B$5,"",(B104*$B$9+(B105-B104)*$B$7)*$B$6/1000000)</f>
        <v>0.0217</v>
      </c>
      <c r="G105" s="29" t="n">
        <f aca="false">IF($A105&gt;$B$5,"",(($B$3-$B$14)*$B$8+(B105-($B$3-$B$14))*$B$7)*$B$6/1000000)</f>
        <v>0.3441</v>
      </c>
      <c r="H105" s="28" t="n">
        <f aca="false">IF($A105&gt;$B$5,"",IF(H104+$B$4&gt;$B$11,$B$12,H104+$B$4))</f>
        <v>67000</v>
      </c>
      <c r="I105" s="27" t="n">
        <f aca="false">IF($A105&gt;$B$5,"",IF(H104+$B$4&gt;$B$11,1,0))</f>
        <v>0</v>
      </c>
      <c r="J105" s="29" t="n">
        <f aca="false">IF($A105&gt;$B$5,"",H105*$B$6/1000000)</f>
        <v>0.134</v>
      </c>
      <c r="K105" s="29" t="n">
        <f aca="false">IF($A105&gt;$B$5,"",IF(I105=1,$B$3*$B$8+(H105-$B$3)*$B$7,H104*$B$8+(H105-H104)*$B$7)*$B$6/1000000)</f>
        <v>0.0203</v>
      </c>
      <c r="L105" s="29" t="n">
        <f aca="false">IF($A105&gt;$B$5,"",IF(I105=1,(H104*$B$8+$B$4*$B$7)*$B$6/1000000,0))</f>
        <v>0</v>
      </c>
      <c r="M105" s="30" t="n">
        <f aca="false">IF($A105&gt;$B$5,"",SUM(C$60:C105))</f>
        <v>7.13</v>
      </c>
      <c r="N105" s="30" t="n">
        <f aca="false">IF($A105&gt;$B$5,"",SUM(J$60:J105))</f>
        <v>4.79</v>
      </c>
      <c r="O105" s="30" t="n">
        <f aca="false">IF($A105&gt;$B$5,"",SUM(D$60:D105))</f>
        <v>1.0465</v>
      </c>
      <c r="P105" s="30" t="n">
        <f aca="false">IF($A105&gt;$B$5,"",SUM(K$60:K105))</f>
        <v>0.8401</v>
      </c>
    </row>
    <row r="106" customFormat="false" ht="15" hidden="false" customHeight="false" outlineLevel="0" collapsed="false">
      <c r="A106" s="27" t="n">
        <f aca="false">A105+1</f>
        <v>47</v>
      </c>
      <c r="B106" s="28" t="n">
        <f aca="false">IF($A106&gt;$B$5,"",$B$3+$B$4*($A106-1))</f>
        <v>148000</v>
      </c>
      <c r="C106" s="29" t="n">
        <f aca="false">IF($A106&gt;$B$5,"",B106*$B$6/1000000)</f>
        <v>0.296</v>
      </c>
      <c r="D106" s="29" t="n">
        <f aca="false">IF($A106&gt;$B$5,"",(B105*$B$8+(B106-B105)*$B$7)*$B$6/1000000)</f>
        <v>0.0365</v>
      </c>
      <c r="E106" s="29" t="n">
        <f aca="false">IF($A106&gt;$B$5,"",IF(MOD($A106,$B$13)=0,B106*$B$7,B105*$B$8+(B106-B105)*$B$7)*$B$6/1000000)</f>
        <v>0.0365</v>
      </c>
      <c r="F106" s="29" t="n">
        <f aca="false">IF($A106&gt;$B$5,"",(B105*$B$9+(B106-B105)*$B$7)*$B$6/1000000)</f>
        <v>0.022</v>
      </c>
      <c r="G106" s="29" t="n">
        <f aca="false">IF($A106&gt;$B$5,"",(($B$3-$B$14)*$B$8+(B106-($B$3-$B$14))*$B$7)*$B$6/1000000)</f>
        <v>0.3516</v>
      </c>
      <c r="H106" s="28" t="n">
        <f aca="false">IF($A106&gt;$B$5,"",IF(H105+$B$4&gt;$B$11,$B$12,H105+$B$4))</f>
        <v>70000</v>
      </c>
      <c r="I106" s="27" t="n">
        <f aca="false">IF($A106&gt;$B$5,"",IF(H105+$B$4&gt;$B$11,1,0))</f>
        <v>0</v>
      </c>
      <c r="J106" s="29" t="n">
        <f aca="false">IF($A106&gt;$B$5,"",H106*$B$6/1000000)</f>
        <v>0.14</v>
      </c>
      <c r="K106" s="29" t="n">
        <f aca="false">IF($A106&gt;$B$5,"",IF(I106=1,$B$3*$B$8+(H106-$B$3)*$B$7,H105*$B$8+(H106-H105)*$B$7)*$B$6/1000000)</f>
        <v>0.0209</v>
      </c>
      <c r="L106" s="29" t="n">
        <f aca="false">IF($A106&gt;$B$5,"",IF(I106=1,(H105*$B$8+$B$4*$B$7)*$B$6/1000000,0))</f>
        <v>0</v>
      </c>
      <c r="M106" s="30" t="n">
        <f aca="false">IF($A106&gt;$B$5,"",SUM(C$60:C106))</f>
        <v>7.426</v>
      </c>
      <c r="N106" s="30" t="n">
        <f aca="false">IF($A106&gt;$B$5,"",SUM(J$60:J106))</f>
        <v>4.93</v>
      </c>
      <c r="O106" s="30" t="n">
        <f aca="false">IF($A106&gt;$B$5,"",SUM(D$60:D106))</f>
        <v>1.083</v>
      </c>
      <c r="P106" s="30" t="n">
        <f aca="false">IF($A106&gt;$B$5,"",SUM(K$60:K106))</f>
        <v>0.861</v>
      </c>
    </row>
    <row r="107" customFormat="false" ht="15" hidden="false" customHeight="false" outlineLevel="0" collapsed="false">
      <c r="A107" s="27" t="n">
        <f aca="false">A106+1</f>
        <v>48</v>
      </c>
      <c r="B107" s="28" t="n">
        <f aca="false">IF($A107&gt;$B$5,"",$B$3+$B$4*($A107-1))</f>
        <v>151000</v>
      </c>
      <c r="C107" s="29" t="n">
        <f aca="false">IF($A107&gt;$B$5,"",B107*$B$6/1000000)</f>
        <v>0.302</v>
      </c>
      <c r="D107" s="29" t="n">
        <f aca="false">IF($A107&gt;$B$5,"",(B106*$B$8+(B107-B106)*$B$7)*$B$6/1000000)</f>
        <v>0.0371</v>
      </c>
      <c r="E107" s="29" t="n">
        <f aca="false">IF($A107&gt;$B$5,"",IF(MOD($A107,$B$13)=0,B107*$B$7,B106*$B$8+(B107-B106)*$B$7)*$B$6/1000000)</f>
        <v>0.0371</v>
      </c>
      <c r="F107" s="29" t="n">
        <f aca="false">IF($A107&gt;$B$5,"",(B106*$B$9+(B107-B106)*$B$7)*$B$6/1000000)</f>
        <v>0.0223</v>
      </c>
      <c r="G107" s="29" t="n">
        <f aca="false">IF($A107&gt;$B$5,"",(($B$3-$B$14)*$B$8+(B107-($B$3-$B$14))*$B$7)*$B$6/1000000)</f>
        <v>0.3591</v>
      </c>
      <c r="H107" s="28" t="n">
        <f aca="false">IF($A107&gt;$B$5,"",IF(H106+$B$4&gt;$B$11,$B$12,H106+$B$4))</f>
        <v>73000</v>
      </c>
      <c r="I107" s="27" t="n">
        <f aca="false">IF($A107&gt;$B$5,"",IF(H106+$B$4&gt;$B$11,1,0))</f>
        <v>0</v>
      </c>
      <c r="J107" s="29" t="n">
        <f aca="false">IF($A107&gt;$B$5,"",H107*$B$6/1000000)</f>
        <v>0.146</v>
      </c>
      <c r="K107" s="29" t="n">
        <f aca="false">IF($A107&gt;$B$5,"",IF(I107=1,$B$3*$B$8+(H107-$B$3)*$B$7,H106*$B$8+(H107-H106)*$B$7)*$B$6/1000000)</f>
        <v>0.0215</v>
      </c>
      <c r="L107" s="29" t="n">
        <f aca="false">IF($A107&gt;$B$5,"",IF(I107=1,(H106*$B$8+$B$4*$B$7)*$B$6/1000000,0))</f>
        <v>0</v>
      </c>
      <c r="M107" s="30" t="n">
        <f aca="false">IF($A107&gt;$B$5,"",SUM(C$60:C107))</f>
        <v>7.728</v>
      </c>
      <c r="N107" s="30" t="n">
        <f aca="false">IF($A107&gt;$B$5,"",SUM(J$60:J107))</f>
        <v>5.076</v>
      </c>
      <c r="O107" s="30" t="n">
        <f aca="false">IF($A107&gt;$B$5,"",SUM(D$60:D107))</f>
        <v>1.1201</v>
      </c>
      <c r="P107" s="30" t="n">
        <f aca="false">IF($A107&gt;$B$5,"",SUM(K$60:K107))</f>
        <v>0.8825</v>
      </c>
    </row>
    <row r="108" customFormat="false" ht="15" hidden="false" customHeight="false" outlineLevel="0" collapsed="false">
      <c r="A108" s="27" t="n">
        <f aca="false">A107+1</f>
        <v>49</v>
      </c>
      <c r="B108" s="28" t="n">
        <f aca="false">IF($A108&gt;$B$5,"",$B$3+$B$4*($A108-1))</f>
        <v>154000</v>
      </c>
      <c r="C108" s="29" t="n">
        <f aca="false">IF($A108&gt;$B$5,"",B108*$B$6/1000000)</f>
        <v>0.308</v>
      </c>
      <c r="D108" s="29" t="n">
        <f aca="false">IF($A108&gt;$B$5,"",(B107*$B$8+(B108-B107)*$B$7)*$B$6/1000000)</f>
        <v>0.0377</v>
      </c>
      <c r="E108" s="29" t="n">
        <f aca="false">IF($A108&gt;$B$5,"",IF(MOD($A108,$B$13)=0,B108*$B$7,B107*$B$8+(B108-B107)*$B$7)*$B$6/1000000)</f>
        <v>0.0377</v>
      </c>
      <c r="F108" s="29" t="n">
        <f aca="false">IF($A108&gt;$B$5,"",(B107*$B$9+(B108-B107)*$B$7)*$B$6/1000000)</f>
        <v>0.0226</v>
      </c>
      <c r="G108" s="29" t="n">
        <f aca="false">IF($A108&gt;$B$5,"",(($B$3-$B$14)*$B$8+(B108-($B$3-$B$14))*$B$7)*$B$6/1000000)</f>
        <v>0.3666</v>
      </c>
      <c r="H108" s="28" t="n">
        <f aca="false">IF($A108&gt;$B$5,"",IF(H107+$B$4&gt;$B$11,$B$12,H107+$B$4))</f>
        <v>76000</v>
      </c>
      <c r="I108" s="27" t="n">
        <f aca="false">IF($A108&gt;$B$5,"",IF(H107+$B$4&gt;$B$11,1,0))</f>
        <v>0</v>
      </c>
      <c r="J108" s="29" t="n">
        <f aca="false">IF($A108&gt;$B$5,"",H108*$B$6/1000000)</f>
        <v>0.152</v>
      </c>
      <c r="K108" s="29" t="n">
        <f aca="false">IF($A108&gt;$B$5,"",IF(I108=1,$B$3*$B$8+(H108-$B$3)*$B$7,H107*$B$8+(H108-H107)*$B$7)*$B$6/1000000)</f>
        <v>0.0221</v>
      </c>
      <c r="L108" s="29" t="n">
        <f aca="false">IF($A108&gt;$B$5,"",IF(I108=1,(H107*$B$8+$B$4*$B$7)*$B$6/1000000,0))</f>
        <v>0</v>
      </c>
      <c r="M108" s="30" t="n">
        <f aca="false">IF($A108&gt;$B$5,"",SUM(C$60:C108))</f>
        <v>8.036</v>
      </c>
      <c r="N108" s="30" t="n">
        <f aca="false">IF($A108&gt;$B$5,"",SUM(J$60:J108))</f>
        <v>5.228</v>
      </c>
      <c r="O108" s="30" t="n">
        <f aca="false">IF($A108&gt;$B$5,"",SUM(D$60:D108))</f>
        <v>1.1578</v>
      </c>
      <c r="P108" s="30" t="n">
        <f aca="false">IF($A108&gt;$B$5,"",SUM(K$60:K108))</f>
        <v>0.9046</v>
      </c>
    </row>
    <row r="109" customFormat="false" ht="15" hidden="false" customHeight="false" outlineLevel="0" collapsed="false">
      <c r="A109" s="27" t="n">
        <f aca="false">A108+1</f>
        <v>50</v>
      </c>
      <c r="B109" s="28" t="n">
        <f aca="false">IF($A109&gt;$B$5,"",$B$3+$B$4*($A109-1))</f>
        <v>157000</v>
      </c>
      <c r="C109" s="29" t="n">
        <f aca="false">IF($A109&gt;$B$5,"",B109*$B$6/1000000)</f>
        <v>0.314</v>
      </c>
      <c r="D109" s="29" t="n">
        <f aca="false">IF($A109&gt;$B$5,"",(B108*$B$8+(B109-B108)*$B$7)*$B$6/1000000)</f>
        <v>0.0383</v>
      </c>
      <c r="E109" s="29" t="n">
        <f aca="false">IF($A109&gt;$B$5,"",IF(MOD($A109,$B$13)=0,B109*$B$7,B108*$B$8+(B109-B108)*$B$7)*$B$6/1000000)</f>
        <v>0.3925</v>
      </c>
      <c r="F109" s="29" t="n">
        <f aca="false">IF($A109&gt;$B$5,"",(B108*$B$9+(B109-B108)*$B$7)*$B$6/1000000)</f>
        <v>0.0229</v>
      </c>
      <c r="G109" s="29" t="n">
        <f aca="false">IF($A109&gt;$B$5,"",(($B$3-$B$14)*$B$8+(B109-($B$3-$B$14))*$B$7)*$B$6/1000000)</f>
        <v>0.3741</v>
      </c>
      <c r="H109" s="28" t="n">
        <f aca="false">IF($A109&gt;$B$5,"",IF(H108+$B$4&gt;$B$11,$B$12,H108+$B$4))</f>
        <v>79000</v>
      </c>
      <c r="I109" s="27" t="n">
        <f aca="false">IF($A109&gt;$B$5,"",IF(H108+$B$4&gt;$B$11,1,0))</f>
        <v>0</v>
      </c>
      <c r="J109" s="29" t="n">
        <f aca="false">IF($A109&gt;$B$5,"",H109*$B$6/1000000)</f>
        <v>0.158</v>
      </c>
      <c r="K109" s="29" t="n">
        <f aca="false">IF($A109&gt;$B$5,"",IF(I109=1,$B$3*$B$8+(H109-$B$3)*$B$7,H108*$B$8+(H109-H108)*$B$7)*$B$6/1000000)</f>
        <v>0.0227</v>
      </c>
      <c r="L109" s="29" t="n">
        <f aca="false">IF($A109&gt;$B$5,"",IF(I109=1,(H108*$B$8+$B$4*$B$7)*$B$6/1000000,0))</f>
        <v>0</v>
      </c>
      <c r="M109" s="30" t="n">
        <f aca="false">IF($A109&gt;$B$5,"",SUM(C$60:C109))</f>
        <v>8.35</v>
      </c>
      <c r="N109" s="30" t="n">
        <f aca="false">IF($A109&gt;$B$5,"",SUM(J$60:J109))</f>
        <v>5.386</v>
      </c>
      <c r="O109" s="30" t="n">
        <f aca="false">IF($A109&gt;$B$5,"",SUM(D$60:D109))</f>
        <v>1.1961</v>
      </c>
      <c r="P109" s="30" t="n">
        <f aca="false">IF($A109&gt;$B$5,"",SUM(K$60:K109))</f>
        <v>0.9273</v>
      </c>
    </row>
    <row r="110" customFormat="false" ht="15" hidden="false" customHeight="false" outlineLevel="0" collapsed="false">
      <c r="A110" s="27" t="n">
        <f aca="false">A109+1</f>
        <v>51</v>
      </c>
      <c r="B110" s="28" t="n">
        <f aca="false">IF($A110&gt;$B$5,"",$B$3+$B$4*($A110-1))</f>
        <v>160000</v>
      </c>
      <c r="C110" s="29" t="n">
        <f aca="false">IF($A110&gt;$B$5,"",B110*$B$6/1000000)</f>
        <v>0.32</v>
      </c>
      <c r="D110" s="29" t="n">
        <f aca="false">IF($A110&gt;$B$5,"",(B109*$B$8+(B110-B109)*$B$7)*$B$6/1000000)</f>
        <v>0.0389</v>
      </c>
      <c r="E110" s="29" t="n">
        <f aca="false">IF($A110&gt;$B$5,"",IF(MOD($A110,$B$13)=0,B110*$B$7,B109*$B$8+(B110-B109)*$B$7)*$B$6/1000000)</f>
        <v>0.0389</v>
      </c>
      <c r="F110" s="29" t="n">
        <f aca="false">IF($A110&gt;$B$5,"",(B109*$B$9+(B110-B109)*$B$7)*$B$6/1000000)</f>
        <v>0.0232</v>
      </c>
      <c r="G110" s="29" t="n">
        <f aca="false">IF($A110&gt;$B$5,"",(($B$3-$B$14)*$B$8+(B110-($B$3-$B$14))*$B$7)*$B$6/1000000)</f>
        <v>0.3816</v>
      </c>
      <c r="H110" s="28" t="n">
        <f aca="false">IF($A110&gt;$B$5,"",IF(H109+$B$4&gt;$B$11,$B$12,H109+$B$4))</f>
        <v>82000</v>
      </c>
      <c r="I110" s="27" t="n">
        <f aca="false">IF($A110&gt;$B$5,"",IF(H109+$B$4&gt;$B$11,1,0))</f>
        <v>0</v>
      </c>
      <c r="J110" s="29" t="n">
        <f aca="false">IF($A110&gt;$B$5,"",H110*$B$6/1000000)</f>
        <v>0.164</v>
      </c>
      <c r="K110" s="29" t="n">
        <f aca="false">IF($A110&gt;$B$5,"",IF(I110=1,$B$3*$B$8+(H110-$B$3)*$B$7,H109*$B$8+(H110-H109)*$B$7)*$B$6/1000000)</f>
        <v>0.0233</v>
      </c>
      <c r="L110" s="29" t="n">
        <f aca="false">IF($A110&gt;$B$5,"",IF(I110=1,(H109*$B$8+$B$4*$B$7)*$B$6/1000000,0))</f>
        <v>0</v>
      </c>
      <c r="M110" s="30" t="n">
        <f aca="false">IF($A110&gt;$B$5,"",SUM(C$60:C110))</f>
        <v>8.67</v>
      </c>
      <c r="N110" s="30" t="n">
        <f aca="false">IF($A110&gt;$B$5,"",SUM(J$60:J110))</f>
        <v>5.55</v>
      </c>
      <c r="O110" s="30" t="n">
        <f aca="false">IF($A110&gt;$B$5,"",SUM(D$60:D110))</f>
        <v>1.235</v>
      </c>
      <c r="P110" s="30" t="n">
        <f aca="false">IF($A110&gt;$B$5,"",SUM(K$60:K110))</f>
        <v>0.9506</v>
      </c>
    </row>
    <row r="111" customFormat="false" ht="15" hidden="false" customHeight="false" outlineLevel="0" collapsed="false">
      <c r="A111" s="27" t="n">
        <f aca="false">A110+1</f>
        <v>52</v>
      </c>
      <c r="B111" s="28" t="n">
        <f aca="false">IF($A111&gt;$B$5,"",$B$3+$B$4*($A111-1))</f>
        <v>163000</v>
      </c>
      <c r="C111" s="29" t="n">
        <f aca="false">IF($A111&gt;$B$5,"",B111*$B$6/1000000)</f>
        <v>0.326</v>
      </c>
      <c r="D111" s="29" t="n">
        <f aca="false">IF($A111&gt;$B$5,"",(B110*$B$8+(B111-B110)*$B$7)*$B$6/1000000)</f>
        <v>0.0395</v>
      </c>
      <c r="E111" s="29" t="n">
        <f aca="false">IF($A111&gt;$B$5,"",IF(MOD($A111,$B$13)=0,B111*$B$7,B110*$B$8+(B111-B110)*$B$7)*$B$6/1000000)</f>
        <v>0.0395</v>
      </c>
      <c r="F111" s="29" t="n">
        <f aca="false">IF($A111&gt;$B$5,"",(B110*$B$9+(B111-B110)*$B$7)*$B$6/1000000)</f>
        <v>0.0235</v>
      </c>
      <c r="G111" s="29" t="n">
        <f aca="false">IF($A111&gt;$B$5,"",(($B$3-$B$14)*$B$8+(B111-($B$3-$B$14))*$B$7)*$B$6/1000000)</f>
        <v>0.3891</v>
      </c>
      <c r="H111" s="28" t="n">
        <f aca="false">IF($A111&gt;$B$5,"",IF(H110+$B$4&gt;$B$11,$B$12,H110+$B$4))</f>
        <v>85000</v>
      </c>
      <c r="I111" s="27" t="n">
        <f aca="false">IF($A111&gt;$B$5,"",IF(H110+$B$4&gt;$B$11,1,0))</f>
        <v>0</v>
      </c>
      <c r="J111" s="29" t="n">
        <f aca="false">IF($A111&gt;$B$5,"",H111*$B$6/1000000)</f>
        <v>0.17</v>
      </c>
      <c r="K111" s="29" t="n">
        <f aca="false">IF($A111&gt;$B$5,"",IF(I111=1,$B$3*$B$8+(H111-$B$3)*$B$7,H110*$B$8+(H111-H110)*$B$7)*$B$6/1000000)</f>
        <v>0.0239</v>
      </c>
      <c r="L111" s="29" t="n">
        <f aca="false">IF($A111&gt;$B$5,"",IF(I111=1,(H110*$B$8+$B$4*$B$7)*$B$6/1000000,0))</f>
        <v>0</v>
      </c>
      <c r="M111" s="30" t="n">
        <f aca="false">IF($A111&gt;$B$5,"",SUM(C$60:C111))</f>
        <v>8.996</v>
      </c>
      <c r="N111" s="30" t="n">
        <f aca="false">IF($A111&gt;$B$5,"",SUM(J$60:J111))</f>
        <v>5.72</v>
      </c>
      <c r="O111" s="30" t="n">
        <f aca="false">IF($A111&gt;$B$5,"",SUM(D$60:D111))</f>
        <v>1.2745</v>
      </c>
      <c r="P111" s="30" t="n">
        <f aca="false">IF($A111&gt;$B$5,"",SUM(K$60:K111))</f>
        <v>0.9745</v>
      </c>
    </row>
    <row r="112" customFormat="false" ht="15" hidden="false" customHeight="false" outlineLevel="0" collapsed="false">
      <c r="A112" s="27" t="n">
        <f aca="false">A111+1</f>
        <v>53</v>
      </c>
      <c r="B112" s="28" t="n">
        <f aca="false">IF($A112&gt;$B$5,"",$B$3+$B$4*($A112-1))</f>
        <v>166000</v>
      </c>
      <c r="C112" s="29" t="n">
        <f aca="false">IF($A112&gt;$B$5,"",B112*$B$6/1000000)</f>
        <v>0.332</v>
      </c>
      <c r="D112" s="29" t="n">
        <f aca="false">IF($A112&gt;$B$5,"",(B111*$B$8+(B112-B111)*$B$7)*$B$6/1000000)</f>
        <v>0.0401</v>
      </c>
      <c r="E112" s="29" t="n">
        <f aca="false">IF($A112&gt;$B$5,"",IF(MOD($A112,$B$13)=0,B112*$B$7,B111*$B$8+(B112-B111)*$B$7)*$B$6/1000000)</f>
        <v>0.0401</v>
      </c>
      <c r="F112" s="29" t="n">
        <f aca="false">IF($A112&gt;$B$5,"",(B111*$B$9+(B112-B111)*$B$7)*$B$6/1000000)</f>
        <v>0.0238</v>
      </c>
      <c r="G112" s="29" t="n">
        <f aca="false">IF($A112&gt;$B$5,"",(($B$3-$B$14)*$B$8+(B112-($B$3-$B$14))*$B$7)*$B$6/1000000)</f>
        <v>0.3966</v>
      </c>
      <c r="H112" s="28" t="n">
        <f aca="false">IF($A112&gt;$B$5,"",IF(H111+$B$4&gt;$B$11,$B$12,H111+$B$4))</f>
        <v>88000</v>
      </c>
      <c r="I112" s="27" t="n">
        <f aca="false">IF($A112&gt;$B$5,"",IF(H111+$B$4&gt;$B$11,1,0))</f>
        <v>0</v>
      </c>
      <c r="J112" s="29" t="n">
        <f aca="false">IF($A112&gt;$B$5,"",H112*$B$6/1000000)</f>
        <v>0.176</v>
      </c>
      <c r="K112" s="29" t="n">
        <f aca="false">IF($A112&gt;$B$5,"",IF(I112=1,$B$3*$B$8+(H112-$B$3)*$B$7,H111*$B$8+(H112-H111)*$B$7)*$B$6/1000000)</f>
        <v>0.0245</v>
      </c>
      <c r="L112" s="29" t="n">
        <f aca="false">IF($A112&gt;$B$5,"",IF(I112=1,(H111*$B$8+$B$4*$B$7)*$B$6/1000000,0))</f>
        <v>0</v>
      </c>
      <c r="M112" s="30" t="n">
        <f aca="false">IF($A112&gt;$B$5,"",SUM(C$60:C112))</f>
        <v>9.328</v>
      </c>
      <c r="N112" s="30" t="n">
        <f aca="false">IF($A112&gt;$B$5,"",SUM(J$60:J112))</f>
        <v>5.896</v>
      </c>
      <c r="O112" s="30" t="n">
        <f aca="false">IF($A112&gt;$B$5,"",SUM(D$60:D112))</f>
        <v>1.3146</v>
      </c>
      <c r="P112" s="30" t="n">
        <f aca="false">IF($A112&gt;$B$5,"",SUM(K$60:K112))</f>
        <v>0.999</v>
      </c>
    </row>
    <row r="113" customFormat="false" ht="15" hidden="false" customHeight="false" outlineLevel="0" collapsed="false">
      <c r="A113" s="27" t="n">
        <f aca="false">A112+1</f>
        <v>54</v>
      </c>
      <c r="B113" s="28" t="n">
        <f aca="false">IF($A113&gt;$B$5,"",$B$3+$B$4*($A113-1))</f>
        <v>169000</v>
      </c>
      <c r="C113" s="29" t="n">
        <f aca="false">IF($A113&gt;$B$5,"",B113*$B$6/1000000)</f>
        <v>0.338</v>
      </c>
      <c r="D113" s="29" t="n">
        <f aca="false">IF($A113&gt;$B$5,"",(B112*$B$8+(B113-B112)*$B$7)*$B$6/1000000)</f>
        <v>0.0407</v>
      </c>
      <c r="E113" s="29" t="n">
        <f aca="false">IF($A113&gt;$B$5,"",IF(MOD($A113,$B$13)=0,B113*$B$7,B112*$B$8+(B113-B112)*$B$7)*$B$6/1000000)</f>
        <v>0.0407</v>
      </c>
      <c r="F113" s="29" t="n">
        <f aca="false">IF($A113&gt;$B$5,"",(B112*$B$9+(B113-B112)*$B$7)*$B$6/1000000)</f>
        <v>0.0241</v>
      </c>
      <c r="G113" s="29" t="n">
        <f aca="false">IF($A113&gt;$B$5,"",(($B$3-$B$14)*$B$8+(B113-($B$3-$B$14))*$B$7)*$B$6/1000000)</f>
        <v>0.4041</v>
      </c>
      <c r="H113" s="28" t="n">
        <f aca="false">IF($A113&gt;$B$5,"",IF(H112+$B$4&gt;$B$11,$B$12,H112+$B$4))</f>
        <v>91000</v>
      </c>
      <c r="I113" s="27" t="n">
        <f aca="false">IF($A113&gt;$B$5,"",IF(H112+$B$4&gt;$B$11,1,0))</f>
        <v>0</v>
      </c>
      <c r="J113" s="29" t="n">
        <f aca="false">IF($A113&gt;$B$5,"",H113*$B$6/1000000)</f>
        <v>0.182</v>
      </c>
      <c r="K113" s="29" t="n">
        <f aca="false">IF($A113&gt;$B$5,"",IF(I113=1,$B$3*$B$8+(H113-$B$3)*$B$7,H112*$B$8+(H113-H112)*$B$7)*$B$6/1000000)</f>
        <v>0.0251</v>
      </c>
      <c r="L113" s="29" t="n">
        <f aca="false">IF($A113&gt;$B$5,"",IF(I113=1,(H112*$B$8+$B$4*$B$7)*$B$6/1000000,0))</f>
        <v>0</v>
      </c>
      <c r="M113" s="30" t="n">
        <f aca="false">IF($A113&gt;$B$5,"",SUM(C$60:C113))</f>
        <v>9.666</v>
      </c>
      <c r="N113" s="30" t="n">
        <f aca="false">IF($A113&gt;$B$5,"",SUM(J$60:J113))</f>
        <v>6.078</v>
      </c>
      <c r="O113" s="30" t="n">
        <f aca="false">IF($A113&gt;$B$5,"",SUM(D$60:D113))</f>
        <v>1.3553</v>
      </c>
      <c r="P113" s="30" t="n">
        <f aca="false">IF($A113&gt;$B$5,"",SUM(K$60:K113))</f>
        <v>1.0241</v>
      </c>
    </row>
    <row r="114" customFormat="false" ht="15" hidden="false" customHeight="false" outlineLevel="0" collapsed="false">
      <c r="A114" s="27" t="n">
        <f aca="false">A113+1</f>
        <v>55</v>
      </c>
      <c r="B114" s="28" t="n">
        <f aca="false">IF($A114&gt;$B$5,"",$B$3+$B$4*($A114-1))</f>
        <v>172000</v>
      </c>
      <c r="C114" s="29" t="n">
        <f aca="false">IF($A114&gt;$B$5,"",B114*$B$6/1000000)</f>
        <v>0.344</v>
      </c>
      <c r="D114" s="29" t="n">
        <f aca="false">IF($A114&gt;$B$5,"",(B113*$B$8+(B114-B113)*$B$7)*$B$6/1000000)</f>
        <v>0.0413</v>
      </c>
      <c r="E114" s="29" t="n">
        <f aca="false">IF($A114&gt;$B$5,"",IF(MOD($A114,$B$13)=0,B114*$B$7,B113*$B$8+(B114-B113)*$B$7)*$B$6/1000000)</f>
        <v>0.0413</v>
      </c>
      <c r="F114" s="29" t="n">
        <f aca="false">IF($A114&gt;$B$5,"",(B113*$B$9+(B114-B113)*$B$7)*$B$6/1000000)</f>
        <v>0.0244</v>
      </c>
      <c r="G114" s="29" t="n">
        <f aca="false">IF($A114&gt;$B$5,"",(($B$3-$B$14)*$B$8+(B114-($B$3-$B$14))*$B$7)*$B$6/1000000)</f>
        <v>0.4116</v>
      </c>
      <c r="H114" s="28" t="n">
        <f aca="false">IF($A114&gt;$B$5,"",IF(H113+$B$4&gt;$B$11,$B$12,H113+$B$4))</f>
        <v>94000</v>
      </c>
      <c r="I114" s="27" t="n">
        <f aca="false">IF($A114&gt;$B$5,"",IF(H113+$B$4&gt;$B$11,1,0))</f>
        <v>0</v>
      </c>
      <c r="J114" s="29" t="n">
        <f aca="false">IF($A114&gt;$B$5,"",H114*$B$6/1000000)</f>
        <v>0.188</v>
      </c>
      <c r="K114" s="29" t="n">
        <f aca="false">IF($A114&gt;$B$5,"",IF(I114=1,$B$3*$B$8+(H114-$B$3)*$B$7,H113*$B$8+(H114-H113)*$B$7)*$B$6/1000000)</f>
        <v>0.0257</v>
      </c>
      <c r="L114" s="29" t="n">
        <f aca="false">IF($A114&gt;$B$5,"",IF(I114=1,(H113*$B$8+$B$4*$B$7)*$B$6/1000000,0))</f>
        <v>0</v>
      </c>
      <c r="M114" s="30" t="n">
        <f aca="false">IF($A114&gt;$B$5,"",SUM(C$60:C114))</f>
        <v>10.01</v>
      </c>
      <c r="N114" s="30" t="n">
        <f aca="false">IF($A114&gt;$B$5,"",SUM(J$60:J114))</f>
        <v>6.266</v>
      </c>
      <c r="O114" s="30" t="n">
        <f aca="false">IF($A114&gt;$B$5,"",SUM(D$60:D114))</f>
        <v>1.3966</v>
      </c>
      <c r="P114" s="30" t="n">
        <f aca="false">IF($A114&gt;$B$5,"",SUM(K$60:K114))</f>
        <v>1.0498</v>
      </c>
    </row>
    <row r="115" customFormat="false" ht="15" hidden="false" customHeight="false" outlineLevel="0" collapsed="false">
      <c r="A115" s="27" t="n">
        <f aca="false">A114+1</f>
        <v>56</v>
      </c>
      <c r="B115" s="28" t="n">
        <f aca="false">IF($A115&gt;$B$5,"",$B$3+$B$4*($A115-1))</f>
        <v>175000</v>
      </c>
      <c r="C115" s="29" t="n">
        <f aca="false">IF($A115&gt;$B$5,"",B115*$B$6/1000000)</f>
        <v>0.35</v>
      </c>
      <c r="D115" s="29" t="n">
        <f aca="false">IF($A115&gt;$B$5,"",(B114*$B$8+(B115-B114)*$B$7)*$B$6/1000000)</f>
        <v>0.0419</v>
      </c>
      <c r="E115" s="29" t="n">
        <f aca="false">IF($A115&gt;$B$5,"",IF(MOD($A115,$B$13)=0,B115*$B$7,B114*$B$8+(B115-B114)*$B$7)*$B$6/1000000)</f>
        <v>0.0419</v>
      </c>
      <c r="F115" s="29" t="n">
        <f aca="false">IF($A115&gt;$B$5,"",(B114*$B$9+(B115-B114)*$B$7)*$B$6/1000000)</f>
        <v>0.0247</v>
      </c>
      <c r="G115" s="29" t="n">
        <f aca="false">IF($A115&gt;$B$5,"",(($B$3-$B$14)*$B$8+(B115-($B$3-$B$14))*$B$7)*$B$6/1000000)</f>
        <v>0.4191</v>
      </c>
      <c r="H115" s="28" t="n">
        <f aca="false">IF($A115&gt;$B$5,"",IF(H114+$B$4&gt;$B$11,$B$12,H114+$B$4))</f>
        <v>97000</v>
      </c>
      <c r="I115" s="27" t="n">
        <f aca="false">IF($A115&gt;$B$5,"",IF(H114+$B$4&gt;$B$11,1,0))</f>
        <v>0</v>
      </c>
      <c r="J115" s="29" t="n">
        <f aca="false">IF($A115&gt;$B$5,"",H115*$B$6/1000000)</f>
        <v>0.194</v>
      </c>
      <c r="K115" s="29" t="n">
        <f aca="false">IF($A115&gt;$B$5,"",IF(I115=1,$B$3*$B$8+(H115-$B$3)*$B$7,H114*$B$8+(H115-H114)*$B$7)*$B$6/1000000)</f>
        <v>0.0263</v>
      </c>
      <c r="L115" s="29" t="n">
        <f aca="false">IF($A115&gt;$B$5,"",IF(I115=1,(H114*$B$8+$B$4*$B$7)*$B$6/1000000,0))</f>
        <v>0</v>
      </c>
      <c r="M115" s="30" t="n">
        <f aca="false">IF($A115&gt;$B$5,"",SUM(C$60:C115))</f>
        <v>10.36</v>
      </c>
      <c r="N115" s="30" t="n">
        <f aca="false">IF($A115&gt;$B$5,"",SUM(J$60:J115))</f>
        <v>6.46</v>
      </c>
      <c r="O115" s="30" t="n">
        <f aca="false">IF($A115&gt;$B$5,"",SUM(D$60:D115))</f>
        <v>1.4385</v>
      </c>
      <c r="P115" s="30" t="n">
        <f aca="false">IF($A115&gt;$B$5,"",SUM(K$60:K115))</f>
        <v>1.0761</v>
      </c>
    </row>
    <row r="116" customFormat="false" ht="15" hidden="false" customHeight="false" outlineLevel="0" collapsed="false">
      <c r="A116" s="27" t="n">
        <f aca="false">A115+1</f>
        <v>57</v>
      </c>
      <c r="B116" s="28" t="n">
        <f aca="false">IF($A116&gt;$B$5,"",$B$3+$B$4*($A116-1))</f>
        <v>178000</v>
      </c>
      <c r="C116" s="29" t="n">
        <f aca="false">IF($A116&gt;$B$5,"",B116*$B$6/1000000)</f>
        <v>0.356</v>
      </c>
      <c r="D116" s="29" t="n">
        <f aca="false">IF($A116&gt;$B$5,"",(B115*$B$8+(B116-B115)*$B$7)*$B$6/1000000)</f>
        <v>0.0425</v>
      </c>
      <c r="E116" s="29" t="n">
        <f aca="false">IF($A116&gt;$B$5,"",IF(MOD($A116,$B$13)=0,B116*$B$7,B115*$B$8+(B116-B115)*$B$7)*$B$6/1000000)</f>
        <v>0.0425</v>
      </c>
      <c r="F116" s="29" t="n">
        <f aca="false">IF($A116&gt;$B$5,"",(B115*$B$9+(B116-B115)*$B$7)*$B$6/1000000)</f>
        <v>0.025</v>
      </c>
      <c r="G116" s="29" t="n">
        <f aca="false">IF($A116&gt;$B$5,"",(($B$3-$B$14)*$B$8+(B116-($B$3-$B$14))*$B$7)*$B$6/1000000)</f>
        <v>0.4266</v>
      </c>
      <c r="H116" s="28" t="n">
        <f aca="false">IF($A116&gt;$B$5,"",IF(H115+$B$4&gt;$B$11,$B$12,H115+$B$4))</f>
        <v>100000</v>
      </c>
      <c r="I116" s="27" t="n">
        <f aca="false">IF($A116&gt;$B$5,"",IF(H115+$B$4&gt;$B$11,1,0))</f>
        <v>0</v>
      </c>
      <c r="J116" s="29" t="n">
        <f aca="false">IF($A116&gt;$B$5,"",H116*$B$6/1000000)</f>
        <v>0.2</v>
      </c>
      <c r="K116" s="29" t="n">
        <f aca="false">IF($A116&gt;$B$5,"",IF(I116=1,$B$3*$B$8+(H116-$B$3)*$B$7,H115*$B$8+(H116-H115)*$B$7)*$B$6/1000000)</f>
        <v>0.0269</v>
      </c>
      <c r="L116" s="29" t="n">
        <f aca="false">IF($A116&gt;$B$5,"",IF(I116=1,(H115*$B$8+$B$4*$B$7)*$B$6/1000000,0))</f>
        <v>0</v>
      </c>
      <c r="M116" s="30" t="n">
        <f aca="false">IF($A116&gt;$B$5,"",SUM(C$60:C116))</f>
        <v>10.716</v>
      </c>
      <c r="N116" s="30" t="n">
        <f aca="false">IF($A116&gt;$B$5,"",SUM(J$60:J116))</f>
        <v>6.66</v>
      </c>
      <c r="O116" s="30" t="n">
        <f aca="false">IF($A116&gt;$B$5,"",SUM(D$60:D116))</f>
        <v>1.481</v>
      </c>
      <c r="P116" s="30" t="n">
        <f aca="false">IF($A116&gt;$B$5,"",SUM(K$60:K116))</f>
        <v>1.103</v>
      </c>
    </row>
    <row r="117" customFormat="false" ht="15" hidden="false" customHeight="false" outlineLevel="0" collapsed="false">
      <c r="A117" s="27" t="n">
        <f aca="false">A116+1</f>
        <v>58</v>
      </c>
      <c r="B117" s="28" t="n">
        <f aca="false">IF($A117&gt;$B$5,"",$B$3+$B$4*($A117-1))</f>
        <v>181000</v>
      </c>
      <c r="C117" s="29" t="n">
        <f aca="false">IF($A117&gt;$B$5,"",B117*$B$6/1000000)</f>
        <v>0.362</v>
      </c>
      <c r="D117" s="29" t="n">
        <f aca="false">IF($A117&gt;$B$5,"",(B116*$B$8+(B117-B116)*$B$7)*$B$6/1000000)</f>
        <v>0.0431</v>
      </c>
      <c r="E117" s="29" t="n">
        <f aca="false">IF($A117&gt;$B$5,"",IF(MOD($A117,$B$13)=0,B117*$B$7,B116*$B$8+(B117-B116)*$B$7)*$B$6/1000000)</f>
        <v>0.0431</v>
      </c>
      <c r="F117" s="29" t="n">
        <f aca="false">IF($A117&gt;$B$5,"",(B116*$B$9+(B117-B116)*$B$7)*$B$6/1000000)</f>
        <v>0.0253</v>
      </c>
      <c r="G117" s="29" t="n">
        <f aca="false">IF($A117&gt;$B$5,"",(($B$3-$B$14)*$B$8+(B117-($B$3-$B$14))*$B$7)*$B$6/1000000)</f>
        <v>0.4341</v>
      </c>
      <c r="H117" s="28" t="n">
        <f aca="false">IF($A117&gt;$B$5,"",IF(H116+$B$4&gt;$B$11,$B$12,H116+$B$4))</f>
        <v>25000</v>
      </c>
      <c r="I117" s="27" t="n">
        <f aca="false">IF($A117&gt;$B$5,"",IF(H116+$B$4&gt;$B$11,1,0))</f>
        <v>1</v>
      </c>
      <c r="J117" s="29" t="n">
        <f aca="false">IF($A117&gt;$B$5,"",H117*$B$6/1000000)</f>
        <v>0.05</v>
      </c>
      <c r="K117" s="29" t="n">
        <f aca="false">IF($A117&gt;$B$5,"",IF(I117=1,$B$3*$B$8+(H117-$B$3)*$B$7,H116*$B$8+(H117-H116)*$B$7)*$B$6/1000000)</f>
        <v>0.0395</v>
      </c>
      <c r="L117" s="29" t="n">
        <f aca="false">IF($A117&gt;$B$5,"",IF(I117=1,(H116*$B$8+$B$4*$B$7)*$B$6/1000000,0))</f>
        <v>0.0275</v>
      </c>
      <c r="M117" s="30" t="n">
        <f aca="false">IF($A117&gt;$B$5,"",SUM(C$60:C117))</f>
        <v>11.078</v>
      </c>
      <c r="N117" s="30" t="n">
        <f aca="false">IF($A117&gt;$B$5,"",SUM(J$60:J117))</f>
        <v>6.71</v>
      </c>
      <c r="O117" s="30" t="n">
        <f aca="false">IF($A117&gt;$B$5,"",SUM(D$60:D117))</f>
        <v>1.5241</v>
      </c>
      <c r="P117" s="30" t="n">
        <f aca="false">IF($A117&gt;$B$5,"",SUM(K$60:K117))</f>
        <v>1.1425</v>
      </c>
    </row>
    <row r="118" customFormat="false" ht="15" hidden="false" customHeight="false" outlineLevel="0" collapsed="false">
      <c r="A118" s="27" t="n">
        <f aca="false">A117+1</f>
        <v>59</v>
      </c>
      <c r="B118" s="28" t="n">
        <f aca="false">IF($A118&gt;$B$5,"",$B$3+$B$4*($A118-1))</f>
        <v>184000</v>
      </c>
      <c r="C118" s="29" t="n">
        <f aca="false">IF($A118&gt;$B$5,"",B118*$B$6/1000000)</f>
        <v>0.368</v>
      </c>
      <c r="D118" s="29" t="n">
        <f aca="false">IF($A118&gt;$B$5,"",(B117*$B$8+(B118-B117)*$B$7)*$B$6/1000000)</f>
        <v>0.0437</v>
      </c>
      <c r="E118" s="29" t="n">
        <f aca="false">IF($A118&gt;$B$5,"",IF(MOD($A118,$B$13)=0,B118*$B$7,B117*$B$8+(B118-B117)*$B$7)*$B$6/1000000)</f>
        <v>0.0437</v>
      </c>
      <c r="F118" s="29" t="n">
        <f aca="false">IF($A118&gt;$B$5,"",(B117*$B$9+(B118-B117)*$B$7)*$B$6/1000000)</f>
        <v>0.0256</v>
      </c>
      <c r="G118" s="29" t="n">
        <f aca="false">IF($A118&gt;$B$5,"",(($B$3-$B$14)*$B$8+(B118-($B$3-$B$14))*$B$7)*$B$6/1000000)</f>
        <v>0.4416</v>
      </c>
      <c r="H118" s="28" t="n">
        <f aca="false">IF($A118&gt;$B$5,"",IF(H117+$B$4&gt;$B$11,$B$12,H117+$B$4))</f>
        <v>28000</v>
      </c>
      <c r="I118" s="27" t="n">
        <f aca="false">IF($A118&gt;$B$5,"",IF(H117+$B$4&gt;$B$11,1,0))</f>
        <v>0</v>
      </c>
      <c r="J118" s="29" t="n">
        <f aca="false">IF($A118&gt;$B$5,"",H118*$B$6/1000000)</f>
        <v>0.056</v>
      </c>
      <c r="K118" s="29" t="n">
        <f aca="false">IF($A118&gt;$B$5,"",IF(I118=1,$B$3*$B$8+(H118-$B$3)*$B$7,H117*$B$8+(H118-H117)*$B$7)*$B$6/1000000)</f>
        <v>0.0125</v>
      </c>
      <c r="L118" s="29" t="n">
        <f aca="false">IF($A118&gt;$B$5,"",IF(I118=1,(H117*$B$8+$B$4*$B$7)*$B$6/1000000,0))</f>
        <v>0</v>
      </c>
      <c r="M118" s="30" t="n">
        <f aca="false">IF($A118&gt;$B$5,"",SUM(C$60:C118))</f>
        <v>11.446</v>
      </c>
      <c r="N118" s="30" t="n">
        <f aca="false">IF($A118&gt;$B$5,"",SUM(J$60:J118))</f>
        <v>6.766</v>
      </c>
      <c r="O118" s="30" t="n">
        <f aca="false">IF($A118&gt;$B$5,"",SUM(D$60:D118))</f>
        <v>1.5678</v>
      </c>
      <c r="P118" s="30" t="n">
        <f aca="false">IF($A118&gt;$B$5,"",SUM(K$60:K118))</f>
        <v>1.155</v>
      </c>
    </row>
    <row r="119" customFormat="false" ht="15" hidden="false" customHeight="false" outlineLevel="0" collapsed="false">
      <c r="A119" s="27" t="n">
        <f aca="false">A118+1</f>
        <v>60</v>
      </c>
      <c r="B119" s="28" t="n">
        <f aca="false">IF($A119&gt;$B$5,"",$B$3+$B$4*($A119-1))</f>
        <v>187000</v>
      </c>
      <c r="C119" s="29" t="n">
        <f aca="false">IF($A119&gt;$B$5,"",B119*$B$6/1000000)</f>
        <v>0.374</v>
      </c>
      <c r="D119" s="29" t="n">
        <f aca="false">IF($A119&gt;$B$5,"",(B118*$B$8+(B119-B118)*$B$7)*$B$6/1000000)</f>
        <v>0.0443</v>
      </c>
      <c r="E119" s="29" t="n">
        <f aca="false">IF($A119&gt;$B$5,"",IF(MOD($A119,$B$13)=0,B119*$B$7,B118*$B$8+(B119-B118)*$B$7)*$B$6/1000000)</f>
        <v>0.4675</v>
      </c>
      <c r="F119" s="29" t="n">
        <f aca="false">IF($A119&gt;$B$5,"",(B118*$B$9+(B119-B118)*$B$7)*$B$6/1000000)</f>
        <v>0.0259</v>
      </c>
      <c r="G119" s="29" t="n">
        <f aca="false">IF($A119&gt;$B$5,"",(($B$3-$B$14)*$B$8+(B119-($B$3-$B$14))*$B$7)*$B$6/1000000)</f>
        <v>0.4491</v>
      </c>
      <c r="H119" s="28" t="n">
        <f aca="false">IF($A119&gt;$B$5,"",IF(H118+$B$4&gt;$B$11,$B$12,H118+$B$4))</f>
        <v>31000</v>
      </c>
      <c r="I119" s="27" t="n">
        <f aca="false">IF($A119&gt;$B$5,"",IF(H118+$B$4&gt;$B$11,1,0))</f>
        <v>0</v>
      </c>
      <c r="J119" s="29" t="n">
        <f aca="false">IF($A119&gt;$B$5,"",H119*$B$6/1000000)</f>
        <v>0.062</v>
      </c>
      <c r="K119" s="29" t="n">
        <f aca="false">IF($A119&gt;$B$5,"",IF(I119=1,$B$3*$B$8+(H119-$B$3)*$B$7,H118*$B$8+(H119-H118)*$B$7)*$B$6/1000000)</f>
        <v>0.0131</v>
      </c>
      <c r="L119" s="29" t="n">
        <f aca="false">IF($A119&gt;$B$5,"",IF(I119=1,(H118*$B$8+$B$4*$B$7)*$B$6/1000000,0))</f>
        <v>0</v>
      </c>
      <c r="M119" s="30" t="n">
        <f aca="false">IF($A119&gt;$B$5,"",SUM(C$60:C119))</f>
        <v>11.82</v>
      </c>
      <c r="N119" s="30" t="n">
        <f aca="false">IF($A119&gt;$B$5,"",SUM(J$60:J119))</f>
        <v>6.828</v>
      </c>
      <c r="O119" s="30" t="n">
        <f aca="false">IF($A119&gt;$B$5,"",SUM(D$60:D119))</f>
        <v>1.6121</v>
      </c>
      <c r="P119" s="30" t="n">
        <f aca="false">IF($A119&gt;$B$5,"",SUM(K$60:K119))</f>
        <v>1.1681</v>
      </c>
    </row>
    <row r="120" customFormat="false" ht="15" hidden="false" customHeight="false" outlineLevel="0" collapsed="false">
      <c r="A120" s="27" t="n">
        <f aca="false">A119+1</f>
        <v>61</v>
      </c>
      <c r="B120" s="28" t="str">
        <f aca="false">IF($A120&gt;$B$5,"",$B$3+$B$4*($A120-1))</f>
        <v/>
      </c>
      <c r="C120" s="29" t="str">
        <f aca="false">IF($A120&gt;$B$5,"",B120*$B$6/1000000)</f>
        <v/>
      </c>
      <c r="D120" s="29" t="str">
        <f aca="false">IF($A120&gt;$B$5,"",(B119*$B$8+(B120-B119)*$B$7)*$B$6/1000000)</f>
        <v/>
      </c>
      <c r="E120" s="29" t="str">
        <f aca="false">IF($A120&gt;$B$5,"",IF(MOD($A120,$B$13)=0,B120*$B$7,B119*$B$8+(B120-B119)*$B$7)*$B$6/1000000)</f>
        <v/>
      </c>
      <c r="F120" s="29" t="str">
        <f aca="false">IF($A120&gt;$B$5,"",(B119*$B$9+(B120-B119)*$B$7)*$B$6/1000000)</f>
        <v/>
      </c>
      <c r="G120" s="29" t="str">
        <f aca="false">IF($A120&gt;$B$5,"",(($B$3-$B$14)*$B$8+(B120-($B$3-$B$14))*$B$7)*$B$6/1000000)</f>
        <v/>
      </c>
      <c r="H120" s="28" t="str">
        <f aca="false">IF($A120&gt;$B$5,"",IF(H119+$B$4&gt;$B$11,$B$12,H119+$B$4))</f>
        <v/>
      </c>
      <c r="I120" s="27" t="str">
        <f aca="false">IF($A120&gt;$B$5,"",IF(H119+$B$4&gt;$B$11,1,0))</f>
        <v/>
      </c>
      <c r="J120" s="29" t="str">
        <f aca="false">IF($A120&gt;$B$5,"",H120*$B$6/1000000)</f>
        <v/>
      </c>
      <c r="K120" s="29" t="str">
        <f aca="false">IF($A120&gt;$B$5,"",IF(I120=1,$B$3*$B$8+(H120-$B$3)*$B$7,H119*$B$8+(H120-H119)*$B$7)*$B$6/1000000)</f>
        <v/>
      </c>
      <c r="L120" s="29" t="str">
        <f aca="false">IF($A120&gt;$B$5,"",IF(I120=1,(H119*$B$8+$B$4*$B$7)*$B$6/1000000,0))</f>
        <v/>
      </c>
      <c r="M120" s="30" t="str">
        <f aca="false">IF($A120&gt;$B$5,"",SUM(C$60:C120))</f>
        <v/>
      </c>
      <c r="N120" s="30" t="str">
        <f aca="false">IF($A120&gt;$B$5,"",SUM(J$60:J120))</f>
        <v/>
      </c>
      <c r="O120" s="30" t="str">
        <f aca="false">IF($A120&gt;$B$5,"",SUM(D$60:D120))</f>
        <v/>
      </c>
      <c r="P120" s="30" t="str">
        <f aca="false">IF($A120&gt;$B$5,"",SUM(K$60:K120))</f>
        <v/>
      </c>
    </row>
    <row r="121" customFormat="false" ht="15" hidden="false" customHeight="false" outlineLevel="0" collapsed="false">
      <c r="A121" s="27" t="n">
        <f aca="false">A120+1</f>
        <v>62</v>
      </c>
      <c r="B121" s="28" t="str">
        <f aca="false">IF($A121&gt;$B$5,"",$B$3+$B$4*($A121-1))</f>
        <v/>
      </c>
      <c r="C121" s="29" t="str">
        <f aca="false">IF($A121&gt;$B$5,"",B121*$B$6/1000000)</f>
        <v/>
      </c>
      <c r="D121" s="29" t="str">
        <f aca="false">IF($A121&gt;$B$5,"",(B120*$B$8+(B121-B120)*$B$7)*$B$6/1000000)</f>
        <v/>
      </c>
      <c r="E121" s="29" t="str">
        <f aca="false">IF($A121&gt;$B$5,"",IF(MOD($A121,$B$13)=0,B121*$B$7,B120*$B$8+(B121-B120)*$B$7)*$B$6/1000000)</f>
        <v/>
      </c>
      <c r="F121" s="29" t="str">
        <f aca="false">IF($A121&gt;$B$5,"",(B120*$B$9+(B121-B120)*$B$7)*$B$6/1000000)</f>
        <v/>
      </c>
      <c r="G121" s="29" t="str">
        <f aca="false">IF($A121&gt;$B$5,"",(($B$3-$B$14)*$B$8+(B121-($B$3-$B$14))*$B$7)*$B$6/1000000)</f>
        <v/>
      </c>
      <c r="H121" s="28" t="str">
        <f aca="false">IF($A121&gt;$B$5,"",IF(H120+$B$4&gt;$B$11,$B$12,H120+$B$4))</f>
        <v/>
      </c>
      <c r="I121" s="27" t="str">
        <f aca="false">IF($A121&gt;$B$5,"",IF(H120+$B$4&gt;$B$11,1,0))</f>
        <v/>
      </c>
      <c r="J121" s="29" t="str">
        <f aca="false">IF($A121&gt;$B$5,"",H121*$B$6/1000000)</f>
        <v/>
      </c>
      <c r="K121" s="29" t="str">
        <f aca="false">IF($A121&gt;$B$5,"",IF(I121=1,$B$3*$B$8+(H121-$B$3)*$B$7,H120*$B$8+(H121-H120)*$B$7)*$B$6/1000000)</f>
        <v/>
      </c>
      <c r="L121" s="29" t="str">
        <f aca="false">IF($A121&gt;$B$5,"",IF(I121=1,(H120*$B$8+$B$4*$B$7)*$B$6/1000000,0))</f>
        <v/>
      </c>
      <c r="M121" s="30" t="str">
        <f aca="false">IF($A121&gt;$B$5,"",SUM(C$60:C121))</f>
        <v/>
      </c>
      <c r="N121" s="30" t="str">
        <f aca="false">IF($A121&gt;$B$5,"",SUM(J$60:J121))</f>
        <v/>
      </c>
      <c r="O121" s="30" t="str">
        <f aca="false">IF($A121&gt;$B$5,"",SUM(D$60:D121))</f>
        <v/>
      </c>
      <c r="P121" s="30" t="str">
        <f aca="false">IF($A121&gt;$B$5,"",SUM(K$60:K121))</f>
        <v/>
      </c>
    </row>
    <row r="122" customFormat="false" ht="15" hidden="false" customHeight="false" outlineLevel="0" collapsed="false">
      <c r="A122" s="27" t="n">
        <f aca="false">A121+1</f>
        <v>63</v>
      </c>
      <c r="B122" s="28" t="str">
        <f aca="false">IF($A122&gt;$B$5,"",$B$3+$B$4*($A122-1))</f>
        <v/>
      </c>
      <c r="C122" s="29" t="str">
        <f aca="false">IF($A122&gt;$B$5,"",B122*$B$6/1000000)</f>
        <v/>
      </c>
      <c r="D122" s="29" t="str">
        <f aca="false">IF($A122&gt;$B$5,"",(B121*$B$8+(B122-B121)*$B$7)*$B$6/1000000)</f>
        <v/>
      </c>
      <c r="E122" s="29" t="str">
        <f aca="false">IF($A122&gt;$B$5,"",IF(MOD($A122,$B$13)=0,B122*$B$7,B121*$B$8+(B122-B121)*$B$7)*$B$6/1000000)</f>
        <v/>
      </c>
      <c r="F122" s="29" t="str">
        <f aca="false">IF($A122&gt;$B$5,"",(B121*$B$9+(B122-B121)*$B$7)*$B$6/1000000)</f>
        <v/>
      </c>
      <c r="G122" s="29" t="str">
        <f aca="false">IF($A122&gt;$B$5,"",(($B$3-$B$14)*$B$8+(B122-($B$3-$B$14))*$B$7)*$B$6/1000000)</f>
        <v/>
      </c>
      <c r="H122" s="28" t="str">
        <f aca="false">IF($A122&gt;$B$5,"",IF(H121+$B$4&gt;$B$11,$B$12,H121+$B$4))</f>
        <v/>
      </c>
      <c r="I122" s="27" t="str">
        <f aca="false">IF($A122&gt;$B$5,"",IF(H121+$B$4&gt;$B$11,1,0))</f>
        <v/>
      </c>
      <c r="J122" s="29" t="str">
        <f aca="false">IF($A122&gt;$B$5,"",H122*$B$6/1000000)</f>
        <v/>
      </c>
      <c r="K122" s="29" t="str">
        <f aca="false">IF($A122&gt;$B$5,"",IF(I122=1,$B$3*$B$8+(H122-$B$3)*$B$7,H121*$B$8+(H122-H121)*$B$7)*$B$6/1000000)</f>
        <v/>
      </c>
      <c r="L122" s="29" t="str">
        <f aca="false">IF($A122&gt;$B$5,"",IF(I122=1,(H121*$B$8+$B$4*$B$7)*$B$6/1000000,0))</f>
        <v/>
      </c>
      <c r="M122" s="30" t="str">
        <f aca="false">IF($A122&gt;$B$5,"",SUM(C$60:C122))</f>
        <v/>
      </c>
      <c r="N122" s="30" t="str">
        <f aca="false">IF($A122&gt;$B$5,"",SUM(J$60:J122))</f>
        <v/>
      </c>
      <c r="O122" s="30" t="str">
        <f aca="false">IF($A122&gt;$B$5,"",SUM(D$60:D122))</f>
        <v/>
      </c>
      <c r="P122" s="30" t="str">
        <f aca="false">IF($A122&gt;$B$5,"",SUM(K$60:K122))</f>
        <v/>
      </c>
    </row>
    <row r="123" customFormat="false" ht="15" hidden="false" customHeight="false" outlineLevel="0" collapsed="false">
      <c r="A123" s="27" t="n">
        <f aca="false">A122+1</f>
        <v>64</v>
      </c>
      <c r="B123" s="28" t="str">
        <f aca="false">IF($A123&gt;$B$5,"",$B$3+$B$4*($A123-1))</f>
        <v/>
      </c>
      <c r="C123" s="29" t="str">
        <f aca="false">IF($A123&gt;$B$5,"",B123*$B$6/1000000)</f>
        <v/>
      </c>
      <c r="D123" s="29" t="str">
        <f aca="false">IF($A123&gt;$B$5,"",(B122*$B$8+(B123-B122)*$B$7)*$B$6/1000000)</f>
        <v/>
      </c>
      <c r="E123" s="29" t="str">
        <f aca="false">IF($A123&gt;$B$5,"",IF(MOD($A123,$B$13)=0,B123*$B$7,B122*$B$8+(B123-B122)*$B$7)*$B$6/1000000)</f>
        <v/>
      </c>
      <c r="F123" s="29" t="str">
        <f aca="false">IF($A123&gt;$B$5,"",(B122*$B$9+(B123-B122)*$B$7)*$B$6/1000000)</f>
        <v/>
      </c>
      <c r="G123" s="29" t="str">
        <f aca="false">IF($A123&gt;$B$5,"",(($B$3-$B$14)*$B$8+(B123-($B$3-$B$14))*$B$7)*$B$6/1000000)</f>
        <v/>
      </c>
      <c r="H123" s="28" t="str">
        <f aca="false">IF($A123&gt;$B$5,"",IF(H122+$B$4&gt;$B$11,$B$12,H122+$B$4))</f>
        <v/>
      </c>
      <c r="I123" s="27" t="str">
        <f aca="false">IF($A123&gt;$B$5,"",IF(H122+$B$4&gt;$B$11,1,0))</f>
        <v/>
      </c>
      <c r="J123" s="29" t="str">
        <f aca="false">IF($A123&gt;$B$5,"",H123*$B$6/1000000)</f>
        <v/>
      </c>
      <c r="K123" s="29" t="str">
        <f aca="false">IF($A123&gt;$B$5,"",IF(I123=1,$B$3*$B$8+(H123-$B$3)*$B$7,H122*$B$8+(H123-H122)*$B$7)*$B$6/1000000)</f>
        <v/>
      </c>
      <c r="L123" s="29" t="str">
        <f aca="false">IF($A123&gt;$B$5,"",IF(I123=1,(H122*$B$8+$B$4*$B$7)*$B$6/1000000,0))</f>
        <v/>
      </c>
      <c r="M123" s="30" t="str">
        <f aca="false">IF($A123&gt;$B$5,"",SUM(C$60:C123))</f>
        <v/>
      </c>
      <c r="N123" s="30" t="str">
        <f aca="false">IF($A123&gt;$B$5,"",SUM(J$60:J123))</f>
        <v/>
      </c>
      <c r="O123" s="30" t="str">
        <f aca="false">IF($A123&gt;$B$5,"",SUM(D$60:D123))</f>
        <v/>
      </c>
      <c r="P123" s="30" t="str">
        <f aca="false">IF($A123&gt;$B$5,"",SUM(K$60:K123))</f>
        <v/>
      </c>
    </row>
    <row r="124" customFormat="false" ht="15" hidden="false" customHeight="false" outlineLevel="0" collapsed="false">
      <c r="A124" s="27" t="n">
        <f aca="false">A123+1</f>
        <v>65</v>
      </c>
      <c r="B124" s="28" t="str">
        <f aca="false">IF($A124&gt;$B$5,"",$B$3+$B$4*($A124-1))</f>
        <v/>
      </c>
      <c r="C124" s="29" t="str">
        <f aca="false">IF($A124&gt;$B$5,"",B124*$B$6/1000000)</f>
        <v/>
      </c>
      <c r="D124" s="29" t="str">
        <f aca="false">IF($A124&gt;$B$5,"",(B123*$B$8+(B124-B123)*$B$7)*$B$6/1000000)</f>
        <v/>
      </c>
      <c r="E124" s="29" t="str">
        <f aca="false">IF($A124&gt;$B$5,"",IF(MOD($A124,$B$13)=0,B124*$B$7,B123*$B$8+(B124-B123)*$B$7)*$B$6/1000000)</f>
        <v/>
      </c>
      <c r="F124" s="29" t="str">
        <f aca="false">IF($A124&gt;$B$5,"",(B123*$B$9+(B124-B123)*$B$7)*$B$6/1000000)</f>
        <v/>
      </c>
      <c r="G124" s="29" t="str">
        <f aca="false">IF($A124&gt;$B$5,"",(($B$3-$B$14)*$B$8+(B124-($B$3-$B$14))*$B$7)*$B$6/1000000)</f>
        <v/>
      </c>
      <c r="H124" s="28" t="str">
        <f aca="false">IF($A124&gt;$B$5,"",IF(H123+$B$4&gt;$B$11,$B$12,H123+$B$4))</f>
        <v/>
      </c>
      <c r="I124" s="27" t="str">
        <f aca="false">IF($A124&gt;$B$5,"",IF(H123+$B$4&gt;$B$11,1,0))</f>
        <v/>
      </c>
      <c r="J124" s="29" t="str">
        <f aca="false">IF($A124&gt;$B$5,"",H124*$B$6/1000000)</f>
        <v/>
      </c>
      <c r="K124" s="29" t="str">
        <f aca="false">IF($A124&gt;$B$5,"",IF(I124=1,$B$3*$B$8+(H124-$B$3)*$B$7,H123*$B$8+(H124-H123)*$B$7)*$B$6/1000000)</f>
        <v/>
      </c>
      <c r="L124" s="29" t="str">
        <f aca="false">IF($A124&gt;$B$5,"",IF(I124=1,(H123*$B$8+$B$4*$B$7)*$B$6/1000000,0))</f>
        <v/>
      </c>
      <c r="M124" s="30" t="str">
        <f aca="false">IF($A124&gt;$B$5,"",SUM(C$60:C124))</f>
        <v/>
      </c>
      <c r="N124" s="30" t="str">
        <f aca="false">IF($A124&gt;$B$5,"",SUM(J$60:J124))</f>
        <v/>
      </c>
      <c r="O124" s="30" t="str">
        <f aca="false">IF($A124&gt;$B$5,"",SUM(D$60:D124))</f>
        <v/>
      </c>
      <c r="P124" s="30" t="str">
        <f aca="false">IF($A124&gt;$B$5,"",SUM(K$60:K124))</f>
        <v/>
      </c>
    </row>
    <row r="125" customFormat="false" ht="15" hidden="false" customHeight="false" outlineLevel="0" collapsed="false">
      <c r="A125" s="27" t="n">
        <f aca="false">A124+1</f>
        <v>66</v>
      </c>
      <c r="B125" s="28" t="str">
        <f aca="false">IF($A125&gt;$B$5,"",$B$3+$B$4*($A125-1))</f>
        <v/>
      </c>
      <c r="C125" s="29" t="str">
        <f aca="false">IF($A125&gt;$B$5,"",B125*$B$6/1000000)</f>
        <v/>
      </c>
      <c r="D125" s="29" t="str">
        <f aca="false">IF($A125&gt;$B$5,"",(B124*$B$8+(B125-B124)*$B$7)*$B$6/1000000)</f>
        <v/>
      </c>
      <c r="E125" s="29" t="str">
        <f aca="false">IF($A125&gt;$B$5,"",IF(MOD($A125,$B$13)=0,B125*$B$7,B124*$B$8+(B125-B124)*$B$7)*$B$6/1000000)</f>
        <v/>
      </c>
      <c r="F125" s="29" t="str">
        <f aca="false">IF($A125&gt;$B$5,"",(B124*$B$9+(B125-B124)*$B$7)*$B$6/1000000)</f>
        <v/>
      </c>
      <c r="G125" s="29" t="str">
        <f aca="false">IF($A125&gt;$B$5,"",(($B$3-$B$14)*$B$8+(B125-($B$3-$B$14))*$B$7)*$B$6/1000000)</f>
        <v/>
      </c>
      <c r="H125" s="28" t="str">
        <f aca="false">IF($A125&gt;$B$5,"",IF(H124+$B$4&gt;$B$11,$B$12,H124+$B$4))</f>
        <v/>
      </c>
      <c r="I125" s="27" t="str">
        <f aca="false">IF($A125&gt;$B$5,"",IF(H124+$B$4&gt;$B$11,1,0))</f>
        <v/>
      </c>
      <c r="J125" s="29" t="str">
        <f aca="false">IF($A125&gt;$B$5,"",H125*$B$6/1000000)</f>
        <v/>
      </c>
      <c r="K125" s="29" t="str">
        <f aca="false">IF($A125&gt;$B$5,"",IF(I125=1,$B$3*$B$8+(H125-$B$3)*$B$7,H124*$B$8+(H125-H124)*$B$7)*$B$6/1000000)</f>
        <v/>
      </c>
      <c r="L125" s="29" t="str">
        <f aca="false">IF($A125&gt;$B$5,"",IF(I125=1,(H124*$B$8+$B$4*$B$7)*$B$6/1000000,0))</f>
        <v/>
      </c>
      <c r="M125" s="30" t="str">
        <f aca="false">IF($A125&gt;$B$5,"",SUM(C$60:C125))</f>
        <v/>
      </c>
      <c r="N125" s="30" t="str">
        <f aca="false">IF($A125&gt;$B$5,"",SUM(J$60:J125))</f>
        <v/>
      </c>
      <c r="O125" s="30" t="str">
        <f aca="false">IF($A125&gt;$B$5,"",SUM(D$60:D125))</f>
        <v/>
      </c>
      <c r="P125" s="30" t="str">
        <f aca="false">IF($A125&gt;$B$5,"",SUM(K$60:K125))</f>
        <v/>
      </c>
    </row>
    <row r="126" customFormat="false" ht="15" hidden="false" customHeight="false" outlineLevel="0" collapsed="false">
      <c r="A126" s="27" t="n">
        <f aca="false">A125+1</f>
        <v>67</v>
      </c>
      <c r="B126" s="28" t="str">
        <f aca="false">IF($A126&gt;$B$5,"",$B$3+$B$4*($A126-1))</f>
        <v/>
      </c>
      <c r="C126" s="29" t="str">
        <f aca="false">IF($A126&gt;$B$5,"",B126*$B$6/1000000)</f>
        <v/>
      </c>
      <c r="D126" s="29" t="str">
        <f aca="false">IF($A126&gt;$B$5,"",(B125*$B$8+(B126-B125)*$B$7)*$B$6/1000000)</f>
        <v/>
      </c>
      <c r="E126" s="29" t="str">
        <f aca="false">IF($A126&gt;$B$5,"",IF(MOD($A126,$B$13)=0,B126*$B$7,B125*$B$8+(B126-B125)*$B$7)*$B$6/1000000)</f>
        <v/>
      </c>
      <c r="F126" s="29" t="str">
        <f aca="false">IF($A126&gt;$B$5,"",(B125*$B$9+(B126-B125)*$B$7)*$B$6/1000000)</f>
        <v/>
      </c>
      <c r="G126" s="29" t="str">
        <f aca="false">IF($A126&gt;$B$5,"",(($B$3-$B$14)*$B$8+(B126-($B$3-$B$14))*$B$7)*$B$6/1000000)</f>
        <v/>
      </c>
      <c r="H126" s="28" t="str">
        <f aca="false">IF($A126&gt;$B$5,"",IF(H125+$B$4&gt;$B$11,$B$12,H125+$B$4))</f>
        <v/>
      </c>
      <c r="I126" s="27" t="str">
        <f aca="false">IF($A126&gt;$B$5,"",IF(H125+$B$4&gt;$B$11,1,0))</f>
        <v/>
      </c>
      <c r="J126" s="29" t="str">
        <f aca="false">IF($A126&gt;$B$5,"",H126*$B$6/1000000)</f>
        <v/>
      </c>
      <c r="K126" s="29" t="str">
        <f aca="false">IF($A126&gt;$B$5,"",IF(I126=1,$B$3*$B$8+(H126-$B$3)*$B$7,H125*$B$8+(H126-H125)*$B$7)*$B$6/1000000)</f>
        <v/>
      </c>
      <c r="L126" s="29" t="str">
        <f aca="false">IF($A126&gt;$B$5,"",IF(I126=1,(H125*$B$8+$B$4*$B$7)*$B$6/1000000,0))</f>
        <v/>
      </c>
      <c r="M126" s="30" t="str">
        <f aca="false">IF($A126&gt;$B$5,"",SUM(C$60:C126))</f>
        <v/>
      </c>
      <c r="N126" s="30" t="str">
        <f aca="false">IF($A126&gt;$B$5,"",SUM(J$60:J126))</f>
        <v/>
      </c>
      <c r="O126" s="30" t="str">
        <f aca="false">IF($A126&gt;$B$5,"",SUM(D$60:D126))</f>
        <v/>
      </c>
      <c r="P126" s="30" t="str">
        <f aca="false">IF($A126&gt;$B$5,"",SUM(K$60:K126))</f>
        <v/>
      </c>
    </row>
    <row r="127" customFormat="false" ht="15" hidden="false" customHeight="false" outlineLevel="0" collapsed="false">
      <c r="A127" s="27" t="n">
        <f aca="false">A126+1</f>
        <v>68</v>
      </c>
      <c r="B127" s="28" t="str">
        <f aca="false">IF($A127&gt;$B$5,"",$B$3+$B$4*($A127-1))</f>
        <v/>
      </c>
      <c r="C127" s="29" t="str">
        <f aca="false">IF($A127&gt;$B$5,"",B127*$B$6/1000000)</f>
        <v/>
      </c>
      <c r="D127" s="29" t="str">
        <f aca="false">IF($A127&gt;$B$5,"",(B126*$B$8+(B127-B126)*$B$7)*$B$6/1000000)</f>
        <v/>
      </c>
      <c r="E127" s="29" t="str">
        <f aca="false">IF($A127&gt;$B$5,"",IF(MOD($A127,$B$13)=0,B127*$B$7,B126*$B$8+(B127-B126)*$B$7)*$B$6/1000000)</f>
        <v/>
      </c>
      <c r="F127" s="29" t="str">
        <f aca="false">IF($A127&gt;$B$5,"",(B126*$B$9+(B127-B126)*$B$7)*$B$6/1000000)</f>
        <v/>
      </c>
      <c r="G127" s="29" t="str">
        <f aca="false">IF($A127&gt;$B$5,"",(($B$3-$B$14)*$B$8+(B127-($B$3-$B$14))*$B$7)*$B$6/1000000)</f>
        <v/>
      </c>
      <c r="H127" s="28" t="str">
        <f aca="false">IF($A127&gt;$B$5,"",IF(H126+$B$4&gt;$B$11,$B$12,H126+$B$4))</f>
        <v/>
      </c>
      <c r="I127" s="27" t="str">
        <f aca="false">IF($A127&gt;$B$5,"",IF(H126+$B$4&gt;$B$11,1,0))</f>
        <v/>
      </c>
      <c r="J127" s="29" t="str">
        <f aca="false">IF($A127&gt;$B$5,"",H127*$B$6/1000000)</f>
        <v/>
      </c>
      <c r="K127" s="29" t="str">
        <f aca="false">IF($A127&gt;$B$5,"",IF(I127=1,$B$3*$B$8+(H127-$B$3)*$B$7,H126*$B$8+(H127-H126)*$B$7)*$B$6/1000000)</f>
        <v/>
      </c>
      <c r="L127" s="29" t="str">
        <f aca="false">IF($A127&gt;$B$5,"",IF(I127=1,(H126*$B$8+$B$4*$B$7)*$B$6/1000000,0))</f>
        <v/>
      </c>
      <c r="M127" s="30" t="str">
        <f aca="false">IF($A127&gt;$B$5,"",SUM(C$60:C127))</f>
        <v/>
      </c>
      <c r="N127" s="30" t="str">
        <f aca="false">IF($A127&gt;$B$5,"",SUM(J$60:J127))</f>
        <v/>
      </c>
      <c r="O127" s="30" t="str">
        <f aca="false">IF($A127&gt;$B$5,"",SUM(D$60:D127))</f>
        <v/>
      </c>
      <c r="P127" s="30" t="str">
        <f aca="false">IF($A127&gt;$B$5,"",SUM(K$60:K127))</f>
        <v/>
      </c>
    </row>
    <row r="128" customFormat="false" ht="15" hidden="false" customHeight="false" outlineLevel="0" collapsed="false">
      <c r="A128" s="27" t="n">
        <f aca="false">A127+1</f>
        <v>69</v>
      </c>
      <c r="B128" s="28" t="str">
        <f aca="false">IF($A128&gt;$B$5,"",$B$3+$B$4*($A128-1))</f>
        <v/>
      </c>
      <c r="C128" s="29" t="str">
        <f aca="false">IF($A128&gt;$B$5,"",B128*$B$6/1000000)</f>
        <v/>
      </c>
      <c r="D128" s="29" t="str">
        <f aca="false">IF($A128&gt;$B$5,"",(B127*$B$8+(B128-B127)*$B$7)*$B$6/1000000)</f>
        <v/>
      </c>
      <c r="E128" s="29" t="str">
        <f aca="false">IF($A128&gt;$B$5,"",IF(MOD($A128,$B$13)=0,B128*$B$7,B127*$B$8+(B128-B127)*$B$7)*$B$6/1000000)</f>
        <v/>
      </c>
      <c r="F128" s="29" t="str">
        <f aca="false">IF($A128&gt;$B$5,"",(B127*$B$9+(B128-B127)*$B$7)*$B$6/1000000)</f>
        <v/>
      </c>
      <c r="G128" s="29" t="str">
        <f aca="false">IF($A128&gt;$B$5,"",(($B$3-$B$14)*$B$8+(B128-($B$3-$B$14))*$B$7)*$B$6/1000000)</f>
        <v/>
      </c>
      <c r="H128" s="28" t="str">
        <f aca="false">IF($A128&gt;$B$5,"",IF(H127+$B$4&gt;$B$11,$B$12,H127+$B$4))</f>
        <v/>
      </c>
      <c r="I128" s="27" t="str">
        <f aca="false">IF($A128&gt;$B$5,"",IF(H127+$B$4&gt;$B$11,1,0))</f>
        <v/>
      </c>
      <c r="J128" s="29" t="str">
        <f aca="false">IF($A128&gt;$B$5,"",H128*$B$6/1000000)</f>
        <v/>
      </c>
      <c r="K128" s="29" t="str">
        <f aca="false">IF($A128&gt;$B$5,"",IF(I128=1,$B$3*$B$8+(H128-$B$3)*$B$7,H127*$B$8+(H128-H127)*$B$7)*$B$6/1000000)</f>
        <v/>
      </c>
      <c r="L128" s="29" t="str">
        <f aca="false">IF($A128&gt;$B$5,"",IF(I128=1,(H127*$B$8+$B$4*$B$7)*$B$6/1000000,0))</f>
        <v/>
      </c>
      <c r="M128" s="30" t="str">
        <f aca="false">IF($A128&gt;$B$5,"",SUM(C$60:C128))</f>
        <v/>
      </c>
      <c r="N128" s="30" t="str">
        <f aca="false">IF($A128&gt;$B$5,"",SUM(J$60:J128))</f>
        <v/>
      </c>
      <c r="O128" s="30" t="str">
        <f aca="false">IF($A128&gt;$B$5,"",SUM(D$60:D128))</f>
        <v/>
      </c>
      <c r="P128" s="30" t="str">
        <f aca="false">IF($A128&gt;$B$5,"",SUM(K$60:K128))</f>
        <v/>
      </c>
    </row>
    <row r="129" customFormat="false" ht="15" hidden="false" customHeight="false" outlineLevel="0" collapsed="false">
      <c r="A129" s="27" t="n">
        <f aca="false">A128+1</f>
        <v>70</v>
      </c>
      <c r="B129" s="28" t="str">
        <f aca="false">IF($A129&gt;$B$5,"",$B$3+$B$4*($A129-1))</f>
        <v/>
      </c>
      <c r="C129" s="29" t="str">
        <f aca="false">IF($A129&gt;$B$5,"",B129*$B$6/1000000)</f>
        <v/>
      </c>
      <c r="D129" s="29" t="str">
        <f aca="false">IF($A129&gt;$B$5,"",(B128*$B$8+(B129-B128)*$B$7)*$B$6/1000000)</f>
        <v/>
      </c>
      <c r="E129" s="29" t="str">
        <f aca="false">IF($A129&gt;$B$5,"",IF(MOD($A129,$B$13)=0,B129*$B$7,B128*$B$8+(B129-B128)*$B$7)*$B$6/1000000)</f>
        <v/>
      </c>
      <c r="F129" s="29" t="str">
        <f aca="false">IF($A129&gt;$B$5,"",(B128*$B$9+(B129-B128)*$B$7)*$B$6/1000000)</f>
        <v/>
      </c>
      <c r="G129" s="29" t="str">
        <f aca="false">IF($A129&gt;$B$5,"",(($B$3-$B$14)*$B$8+(B129-($B$3-$B$14))*$B$7)*$B$6/1000000)</f>
        <v/>
      </c>
      <c r="H129" s="28" t="str">
        <f aca="false">IF($A129&gt;$B$5,"",IF(H128+$B$4&gt;$B$11,$B$12,H128+$B$4))</f>
        <v/>
      </c>
      <c r="I129" s="27" t="str">
        <f aca="false">IF($A129&gt;$B$5,"",IF(H128+$B$4&gt;$B$11,1,0))</f>
        <v/>
      </c>
      <c r="J129" s="29" t="str">
        <f aca="false">IF($A129&gt;$B$5,"",H129*$B$6/1000000)</f>
        <v/>
      </c>
      <c r="K129" s="29" t="str">
        <f aca="false">IF($A129&gt;$B$5,"",IF(I129=1,$B$3*$B$8+(H129-$B$3)*$B$7,H128*$B$8+(H129-H128)*$B$7)*$B$6/1000000)</f>
        <v/>
      </c>
      <c r="L129" s="29" t="str">
        <f aca="false">IF($A129&gt;$B$5,"",IF(I129=1,(H128*$B$8+$B$4*$B$7)*$B$6/1000000,0))</f>
        <v/>
      </c>
      <c r="M129" s="30" t="str">
        <f aca="false">IF($A129&gt;$B$5,"",SUM(C$60:C129))</f>
        <v/>
      </c>
      <c r="N129" s="30" t="str">
        <f aca="false">IF($A129&gt;$B$5,"",SUM(J$60:J129))</f>
        <v/>
      </c>
      <c r="O129" s="30" t="str">
        <f aca="false">IF($A129&gt;$B$5,"",SUM(D$60:D129))</f>
        <v/>
      </c>
      <c r="P129" s="30" t="str">
        <f aca="false">IF($A129&gt;$B$5,"",SUM(K$60:K129))</f>
        <v/>
      </c>
    </row>
    <row r="130" customFormat="false" ht="15" hidden="false" customHeight="false" outlineLevel="0" collapsed="false">
      <c r="A130" s="27" t="n">
        <f aca="false">A129+1</f>
        <v>71</v>
      </c>
      <c r="B130" s="28" t="str">
        <f aca="false">IF($A130&gt;$B$5,"",$B$3+$B$4*($A130-1))</f>
        <v/>
      </c>
      <c r="C130" s="29" t="str">
        <f aca="false">IF($A130&gt;$B$5,"",B130*$B$6/1000000)</f>
        <v/>
      </c>
      <c r="D130" s="29" t="str">
        <f aca="false">IF($A130&gt;$B$5,"",(B129*$B$8+(B130-B129)*$B$7)*$B$6/1000000)</f>
        <v/>
      </c>
      <c r="E130" s="29" t="str">
        <f aca="false">IF($A130&gt;$B$5,"",IF(MOD($A130,$B$13)=0,B130*$B$7,B129*$B$8+(B130-B129)*$B$7)*$B$6/1000000)</f>
        <v/>
      </c>
      <c r="F130" s="29" t="str">
        <f aca="false">IF($A130&gt;$B$5,"",(B129*$B$9+(B130-B129)*$B$7)*$B$6/1000000)</f>
        <v/>
      </c>
      <c r="G130" s="29" t="str">
        <f aca="false">IF($A130&gt;$B$5,"",(($B$3-$B$14)*$B$8+(B130-($B$3-$B$14))*$B$7)*$B$6/1000000)</f>
        <v/>
      </c>
      <c r="H130" s="28" t="str">
        <f aca="false">IF($A130&gt;$B$5,"",IF(H129+$B$4&gt;$B$11,$B$12,H129+$B$4))</f>
        <v/>
      </c>
      <c r="I130" s="27" t="str">
        <f aca="false">IF($A130&gt;$B$5,"",IF(H129+$B$4&gt;$B$11,1,0))</f>
        <v/>
      </c>
      <c r="J130" s="29" t="str">
        <f aca="false">IF($A130&gt;$B$5,"",H130*$B$6/1000000)</f>
        <v/>
      </c>
      <c r="K130" s="29" t="str">
        <f aca="false">IF($A130&gt;$B$5,"",IF(I130=1,$B$3*$B$8+(H130-$B$3)*$B$7,H129*$B$8+(H130-H129)*$B$7)*$B$6/1000000)</f>
        <v/>
      </c>
      <c r="L130" s="29" t="str">
        <f aca="false">IF($A130&gt;$B$5,"",IF(I130=1,(H129*$B$8+$B$4*$B$7)*$B$6/1000000,0))</f>
        <v/>
      </c>
      <c r="M130" s="30" t="str">
        <f aca="false">IF($A130&gt;$B$5,"",SUM(C$60:C130))</f>
        <v/>
      </c>
      <c r="N130" s="30" t="str">
        <f aca="false">IF($A130&gt;$B$5,"",SUM(J$60:J130))</f>
        <v/>
      </c>
      <c r="O130" s="30" t="str">
        <f aca="false">IF($A130&gt;$B$5,"",SUM(D$60:D130))</f>
        <v/>
      </c>
      <c r="P130" s="30" t="str">
        <f aca="false">IF($A130&gt;$B$5,"",SUM(K$60:K130))</f>
        <v/>
      </c>
    </row>
    <row r="131" customFormat="false" ht="15" hidden="false" customHeight="false" outlineLevel="0" collapsed="false">
      <c r="A131" s="27" t="n">
        <f aca="false">A130+1</f>
        <v>72</v>
      </c>
      <c r="B131" s="28" t="str">
        <f aca="false">IF($A131&gt;$B$5,"",$B$3+$B$4*($A131-1))</f>
        <v/>
      </c>
      <c r="C131" s="29" t="str">
        <f aca="false">IF($A131&gt;$B$5,"",B131*$B$6/1000000)</f>
        <v/>
      </c>
      <c r="D131" s="29" t="str">
        <f aca="false">IF($A131&gt;$B$5,"",(B130*$B$8+(B131-B130)*$B$7)*$B$6/1000000)</f>
        <v/>
      </c>
      <c r="E131" s="29" t="str">
        <f aca="false">IF($A131&gt;$B$5,"",IF(MOD($A131,$B$13)=0,B131*$B$7,B130*$B$8+(B131-B130)*$B$7)*$B$6/1000000)</f>
        <v/>
      </c>
      <c r="F131" s="29" t="str">
        <f aca="false">IF($A131&gt;$B$5,"",(B130*$B$9+(B131-B130)*$B$7)*$B$6/1000000)</f>
        <v/>
      </c>
      <c r="G131" s="29" t="str">
        <f aca="false">IF($A131&gt;$B$5,"",(($B$3-$B$14)*$B$8+(B131-($B$3-$B$14))*$B$7)*$B$6/1000000)</f>
        <v/>
      </c>
      <c r="H131" s="28" t="str">
        <f aca="false">IF($A131&gt;$B$5,"",IF(H130+$B$4&gt;$B$11,$B$12,H130+$B$4))</f>
        <v/>
      </c>
      <c r="I131" s="27" t="str">
        <f aca="false">IF($A131&gt;$B$5,"",IF(H130+$B$4&gt;$B$11,1,0))</f>
        <v/>
      </c>
      <c r="J131" s="29" t="str">
        <f aca="false">IF($A131&gt;$B$5,"",H131*$B$6/1000000)</f>
        <v/>
      </c>
      <c r="K131" s="29" t="str">
        <f aca="false">IF($A131&gt;$B$5,"",IF(I131=1,$B$3*$B$8+(H131-$B$3)*$B$7,H130*$B$8+(H131-H130)*$B$7)*$B$6/1000000)</f>
        <v/>
      </c>
      <c r="L131" s="29" t="str">
        <f aca="false">IF($A131&gt;$B$5,"",IF(I131=1,(H130*$B$8+$B$4*$B$7)*$B$6/1000000,0))</f>
        <v/>
      </c>
      <c r="M131" s="30" t="str">
        <f aca="false">IF($A131&gt;$B$5,"",SUM(C$60:C131))</f>
        <v/>
      </c>
      <c r="N131" s="30" t="str">
        <f aca="false">IF($A131&gt;$B$5,"",SUM(J$60:J131))</f>
        <v/>
      </c>
      <c r="O131" s="30" t="str">
        <f aca="false">IF($A131&gt;$B$5,"",SUM(D$60:D131))</f>
        <v/>
      </c>
      <c r="P131" s="30" t="str">
        <f aca="false">IF($A131&gt;$B$5,"",SUM(K$60:K131))</f>
        <v/>
      </c>
    </row>
    <row r="132" customFormat="false" ht="15" hidden="false" customHeight="false" outlineLevel="0" collapsed="false">
      <c r="A132" s="27" t="n">
        <f aca="false">A131+1</f>
        <v>73</v>
      </c>
      <c r="B132" s="28" t="str">
        <f aca="false">IF($A132&gt;$B$5,"",$B$3+$B$4*($A132-1))</f>
        <v/>
      </c>
      <c r="C132" s="29" t="str">
        <f aca="false">IF($A132&gt;$B$5,"",B132*$B$6/1000000)</f>
        <v/>
      </c>
      <c r="D132" s="29" t="str">
        <f aca="false">IF($A132&gt;$B$5,"",(B131*$B$8+(B132-B131)*$B$7)*$B$6/1000000)</f>
        <v/>
      </c>
      <c r="E132" s="29" t="str">
        <f aca="false">IF($A132&gt;$B$5,"",IF(MOD($A132,$B$13)=0,B132*$B$7,B131*$B$8+(B132-B131)*$B$7)*$B$6/1000000)</f>
        <v/>
      </c>
      <c r="F132" s="29" t="str">
        <f aca="false">IF($A132&gt;$B$5,"",(B131*$B$9+(B132-B131)*$B$7)*$B$6/1000000)</f>
        <v/>
      </c>
      <c r="G132" s="29" t="str">
        <f aca="false">IF($A132&gt;$B$5,"",(($B$3-$B$14)*$B$8+(B132-($B$3-$B$14))*$B$7)*$B$6/1000000)</f>
        <v/>
      </c>
      <c r="H132" s="28" t="str">
        <f aca="false">IF($A132&gt;$B$5,"",IF(H131+$B$4&gt;$B$11,$B$12,H131+$B$4))</f>
        <v/>
      </c>
      <c r="I132" s="27" t="str">
        <f aca="false">IF($A132&gt;$B$5,"",IF(H131+$B$4&gt;$B$11,1,0))</f>
        <v/>
      </c>
      <c r="J132" s="29" t="str">
        <f aca="false">IF($A132&gt;$B$5,"",H132*$B$6/1000000)</f>
        <v/>
      </c>
      <c r="K132" s="29" t="str">
        <f aca="false">IF($A132&gt;$B$5,"",IF(I132=1,$B$3*$B$8+(H132-$B$3)*$B$7,H131*$B$8+(H132-H131)*$B$7)*$B$6/1000000)</f>
        <v/>
      </c>
      <c r="L132" s="29" t="str">
        <f aca="false">IF($A132&gt;$B$5,"",IF(I132=1,(H131*$B$8+$B$4*$B$7)*$B$6/1000000,0))</f>
        <v/>
      </c>
      <c r="M132" s="30" t="str">
        <f aca="false">IF($A132&gt;$B$5,"",SUM(C$60:C132))</f>
        <v/>
      </c>
      <c r="N132" s="30" t="str">
        <f aca="false">IF($A132&gt;$B$5,"",SUM(J$60:J132))</f>
        <v/>
      </c>
      <c r="O132" s="30" t="str">
        <f aca="false">IF($A132&gt;$B$5,"",SUM(D$60:D132))</f>
        <v/>
      </c>
      <c r="P132" s="30" t="str">
        <f aca="false">IF($A132&gt;$B$5,"",SUM(K$60:K132))</f>
        <v/>
      </c>
    </row>
    <row r="133" customFormat="false" ht="15" hidden="false" customHeight="false" outlineLevel="0" collapsed="false">
      <c r="A133" s="27" t="n">
        <f aca="false">A132+1</f>
        <v>74</v>
      </c>
      <c r="B133" s="28" t="str">
        <f aca="false">IF($A133&gt;$B$5,"",$B$3+$B$4*($A133-1))</f>
        <v/>
      </c>
      <c r="C133" s="29" t="str">
        <f aca="false">IF($A133&gt;$B$5,"",B133*$B$6/1000000)</f>
        <v/>
      </c>
      <c r="D133" s="29" t="str">
        <f aca="false">IF($A133&gt;$B$5,"",(B132*$B$8+(B133-B132)*$B$7)*$B$6/1000000)</f>
        <v/>
      </c>
      <c r="E133" s="29" t="str">
        <f aca="false">IF($A133&gt;$B$5,"",IF(MOD($A133,$B$13)=0,B133*$B$7,B132*$B$8+(B133-B132)*$B$7)*$B$6/1000000)</f>
        <v/>
      </c>
      <c r="F133" s="29" t="str">
        <f aca="false">IF($A133&gt;$B$5,"",(B132*$B$9+(B133-B132)*$B$7)*$B$6/1000000)</f>
        <v/>
      </c>
      <c r="G133" s="29" t="str">
        <f aca="false">IF($A133&gt;$B$5,"",(($B$3-$B$14)*$B$8+(B133-($B$3-$B$14))*$B$7)*$B$6/1000000)</f>
        <v/>
      </c>
      <c r="H133" s="28" t="str">
        <f aca="false">IF($A133&gt;$B$5,"",IF(H132+$B$4&gt;$B$11,$B$12,H132+$B$4))</f>
        <v/>
      </c>
      <c r="I133" s="27" t="str">
        <f aca="false">IF($A133&gt;$B$5,"",IF(H132+$B$4&gt;$B$11,1,0))</f>
        <v/>
      </c>
      <c r="J133" s="29" t="str">
        <f aca="false">IF($A133&gt;$B$5,"",H133*$B$6/1000000)</f>
        <v/>
      </c>
      <c r="K133" s="29" t="str">
        <f aca="false">IF($A133&gt;$B$5,"",IF(I133=1,$B$3*$B$8+(H133-$B$3)*$B$7,H132*$B$8+(H133-H132)*$B$7)*$B$6/1000000)</f>
        <v/>
      </c>
      <c r="L133" s="29" t="str">
        <f aca="false">IF($A133&gt;$B$5,"",IF(I133=1,(H132*$B$8+$B$4*$B$7)*$B$6/1000000,0))</f>
        <v/>
      </c>
      <c r="M133" s="30" t="str">
        <f aca="false">IF($A133&gt;$B$5,"",SUM(C$60:C133))</f>
        <v/>
      </c>
      <c r="N133" s="30" t="str">
        <f aca="false">IF($A133&gt;$B$5,"",SUM(J$60:J133))</f>
        <v/>
      </c>
      <c r="O133" s="30" t="str">
        <f aca="false">IF($A133&gt;$B$5,"",SUM(D$60:D133))</f>
        <v/>
      </c>
      <c r="P133" s="30" t="str">
        <f aca="false">IF($A133&gt;$B$5,"",SUM(K$60:K133))</f>
        <v/>
      </c>
    </row>
    <row r="134" customFormat="false" ht="15" hidden="false" customHeight="false" outlineLevel="0" collapsed="false">
      <c r="A134" s="27" t="n">
        <f aca="false">A133+1</f>
        <v>75</v>
      </c>
      <c r="B134" s="28" t="str">
        <f aca="false">IF($A134&gt;$B$5,"",$B$3+$B$4*($A134-1))</f>
        <v/>
      </c>
      <c r="C134" s="29" t="str">
        <f aca="false">IF($A134&gt;$B$5,"",B134*$B$6/1000000)</f>
        <v/>
      </c>
      <c r="D134" s="29" t="str">
        <f aca="false">IF($A134&gt;$B$5,"",(B133*$B$8+(B134-B133)*$B$7)*$B$6/1000000)</f>
        <v/>
      </c>
      <c r="E134" s="29" t="str">
        <f aca="false">IF($A134&gt;$B$5,"",IF(MOD($A134,$B$13)=0,B134*$B$7,B133*$B$8+(B134-B133)*$B$7)*$B$6/1000000)</f>
        <v/>
      </c>
      <c r="F134" s="29" t="str">
        <f aca="false">IF($A134&gt;$B$5,"",(B133*$B$9+(B134-B133)*$B$7)*$B$6/1000000)</f>
        <v/>
      </c>
      <c r="G134" s="29" t="str">
        <f aca="false">IF($A134&gt;$B$5,"",(($B$3-$B$14)*$B$8+(B134-($B$3-$B$14))*$B$7)*$B$6/1000000)</f>
        <v/>
      </c>
      <c r="H134" s="28" t="str">
        <f aca="false">IF($A134&gt;$B$5,"",IF(H133+$B$4&gt;$B$11,$B$12,H133+$B$4))</f>
        <v/>
      </c>
      <c r="I134" s="27" t="str">
        <f aca="false">IF($A134&gt;$B$5,"",IF(H133+$B$4&gt;$B$11,1,0))</f>
        <v/>
      </c>
      <c r="J134" s="29" t="str">
        <f aca="false">IF($A134&gt;$B$5,"",H134*$B$6/1000000)</f>
        <v/>
      </c>
      <c r="K134" s="29" t="str">
        <f aca="false">IF($A134&gt;$B$5,"",IF(I134=1,$B$3*$B$8+(H134-$B$3)*$B$7,H133*$B$8+(H134-H133)*$B$7)*$B$6/1000000)</f>
        <v/>
      </c>
      <c r="L134" s="29" t="str">
        <f aca="false">IF($A134&gt;$B$5,"",IF(I134=1,(H133*$B$8+$B$4*$B$7)*$B$6/1000000,0))</f>
        <v/>
      </c>
      <c r="M134" s="30" t="str">
        <f aca="false">IF($A134&gt;$B$5,"",SUM(C$60:C134))</f>
        <v/>
      </c>
      <c r="N134" s="30" t="str">
        <f aca="false">IF($A134&gt;$B$5,"",SUM(J$60:J134))</f>
        <v/>
      </c>
      <c r="O134" s="30" t="str">
        <f aca="false">IF($A134&gt;$B$5,"",SUM(D$60:D134))</f>
        <v/>
      </c>
      <c r="P134" s="30" t="str">
        <f aca="false">IF($A134&gt;$B$5,"",SUM(K$60:K134))</f>
        <v/>
      </c>
    </row>
    <row r="135" customFormat="false" ht="15" hidden="false" customHeight="false" outlineLevel="0" collapsed="false">
      <c r="A135" s="27" t="n">
        <f aca="false">A134+1</f>
        <v>76</v>
      </c>
      <c r="B135" s="28" t="str">
        <f aca="false">IF($A135&gt;$B$5,"",$B$3+$B$4*($A135-1))</f>
        <v/>
      </c>
      <c r="C135" s="29" t="str">
        <f aca="false">IF($A135&gt;$B$5,"",B135*$B$6/1000000)</f>
        <v/>
      </c>
      <c r="D135" s="29" t="str">
        <f aca="false">IF($A135&gt;$B$5,"",(B134*$B$8+(B135-B134)*$B$7)*$B$6/1000000)</f>
        <v/>
      </c>
      <c r="E135" s="29" t="str">
        <f aca="false">IF($A135&gt;$B$5,"",IF(MOD($A135,$B$13)=0,B135*$B$7,B134*$B$8+(B135-B134)*$B$7)*$B$6/1000000)</f>
        <v/>
      </c>
      <c r="F135" s="29" t="str">
        <f aca="false">IF($A135&gt;$B$5,"",(B134*$B$9+(B135-B134)*$B$7)*$B$6/1000000)</f>
        <v/>
      </c>
      <c r="G135" s="29" t="str">
        <f aca="false">IF($A135&gt;$B$5,"",(($B$3-$B$14)*$B$8+(B135-($B$3-$B$14))*$B$7)*$B$6/1000000)</f>
        <v/>
      </c>
      <c r="H135" s="28" t="str">
        <f aca="false">IF($A135&gt;$B$5,"",IF(H134+$B$4&gt;$B$11,$B$12,H134+$B$4))</f>
        <v/>
      </c>
      <c r="I135" s="27" t="str">
        <f aca="false">IF($A135&gt;$B$5,"",IF(H134+$B$4&gt;$B$11,1,0))</f>
        <v/>
      </c>
      <c r="J135" s="29" t="str">
        <f aca="false">IF($A135&gt;$B$5,"",H135*$B$6/1000000)</f>
        <v/>
      </c>
      <c r="K135" s="29" t="str">
        <f aca="false">IF($A135&gt;$B$5,"",IF(I135=1,$B$3*$B$8+(H135-$B$3)*$B$7,H134*$B$8+(H135-H134)*$B$7)*$B$6/1000000)</f>
        <v/>
      </c>
      <c r="L135" s="29" t="str">
        <f aca="false">IF($A135&gt;$B$5,"",IF(I135=1,(H134*$B$8+$B$4*$B$7)*$B$6/1000000,0))</f>
        <v/>
      </c>
      <c r="M135" s="30" t="str">
        <f aca="false">IF($A135&gt;$B$5,"",SUM(C$60:C135))</f>
        <v/>
      </c>
      <c r="N135" s="30" t="str">
        <f aca="false">IF($A135&gt;$B$5,"",SUM(J$60:J135))</f>
        <v/>
      </c>
      <c r="O135" s="30" t="str">
        <f aca="false">IF($A135&gt;$B$5,"",SUM(D$60:D135))</f>
        <v/>
      </c>
      <c r="P135" s="30" t="str">
        <f aca="false">IF($A135&gt;$B$5,"",SUM(K$60:K135))</f>
        <v/>
      </c>
    </row>
    <row r="136" customFormat="false" ht="15" hidden="false" customHeight="false" outlineLevel="0" collapsed="false">
      <c r="A136" s="27" t="n">
        <f aca="false">A135+1</f>
        <v>77</v>
      </c>
      <c r="B136" s="28" t="str">
        <f aca="false">IF($A136&gt;$B$5,"",$B$3+$B$4*($A136-1))</f>
        <v/>
      </c>
      <c r="C136" s="29" t="str">
        <f aca="false">IF($A136&gt;$B$5,"",B136*$B$6/1000000)</f>
        <v/>
      </c>
      <c r="D136" s="29" t="str">
        <f aca="false">IF($A136&gt;$B$5,"",(B135*$B$8+(B136-B135)*$B$7)*$B$6/1000000)</f>
        <v/>
      </c>
      <c r="E136" s="29" t="str">
        <f aca="false">IF($A136&gt;$B$5,"",IF(MOD($A136,$B$13)=0,B136*$B$7,B135*$B$8+(B136-B135)*$B$7)*$B$6/1000000)</f>
        <v/>
      </c>
      <c r="F136" s="29" t="str">
        <f aca="false">IF($A136&gt;$B$5,"",(B135*$B$9+(B136-B135)*$B$7)*$B$6/1000000)</f>
        <v/>
      </c>
      <c r="G136" s="29" t="str">
        <f aca="false">IF($A136&gt;$B$5,"",(($B$3-$B$14)*$B$8+(B136-($B$3-$B$14))*$B$7)*$B$6/1000000)</f>
        <v/>
      </c>
      <c r="H136" s="28" t="str">
        <f aca="false">IF($A136&gt;$B$5,"",IF(H135+$B$4&gt;$B$11,$B$12,H135+$B$4))</f>
        <v/>
      </c>
      <c r="I136" s="27" t="str">
        <f aca="false">IF($A136&gt;$B$5,"",IF(H135+$B$4&gt;$B$11,1,0))</f>
        <v/>
      </c>
      <c r="J136" s="29" t="str">
        <f aca="false">IF($A136&gt;$B$5,"",H136*$B$6/1000000)</f>
        <v/>
      </c>
      <c r="K136" s="29" t="str">
        <f aca="false">IF($A136&gt;$B$5,"",IF(I136=1,$B$3*$B$8+(H136-$B$3)*$B$7,H135*$B$8+(H136-H135)*$B$7)*$B$6/1000000)</f>
        <v/>
      </c>
      <c r="L136" s="29" t="str">
        <f aca="false">IF($A136&gt;$B$5,"",IF(I136=1,(H135*$B$8+$B$4*$B$7)*$B$6/1000000,0))</f>
        <v/>
      </c>
      <c r="M136" s="30" t="str">
        <f aca="false">IF($A136&gt;$B$5,"",SUM(C$60:C136))</f>
        <v/>
      </c>
      <c r="N136" s="30" t="str">
        <f aca="false">IF($A136&gt;$B$5,"",SUM(J$60:J136))</f>
        <v/>
      </c>
      <c r="O136" s="30" t="str">
        <f aca="false">IF($A136&gt;$B$5,"",SUM(D$60:D136))</f>
        <v/>
      </c>
      <c r="P136" s="30" t="str">
        <f aca="false">IF($A136&gt;$B$5,"",SUM(K$60:K136))</f>
        <v/>
      </c>
    </row>
    <row r="137" customFormat="false" ht="15" hidden="false" customHeight="false" outlineLevel="0" collapsed="false">
      <c r="A137" s="27" t="n">
        <f aca="false">A136+1</f>
        <v>78</v>
      </c>
      <c r="B137" s="28" t="str">
        <f aca="false">IF($A137&gt;$B$5,"",$B$3+$B$4*($A137-1))</f>
        <v/>
      </c>
      <c r="C137" s="29" t="str">
        <f aca="false">IF($A137&gt;$B$5,"",B137*$B$6/1000000)</f>
        <v/>
      </c>
      <c r="D137" s="29" t="str">
        <f aca="false">IF($A137&gt;$B$5,"",(B136*$B$8+(B137-B136)*$B$7)*$B$6/1000000)</f>
        <v/>
      </c>
      <c r="E137" s="29" t="str">
        <f aca="false">IF($A137&gt;$B$5,"",IF(MOD($A137,$B$13)=0,B137*$B$7,B136*$B$8+(B137-B136)*$B$7)*$B$6/1000000)</f>
        <v/>
      </c>
      <c r="F137" s="29" t="str">
        <f aca="false">IF($A137&gt;$B$5,"",(B136*$B$9+(B137-B136)*$B$7)*$B$6/1000000)</f>
        <v/>
      </c>
      <c r="G137" s="29" t="str">
        <f aca="false">IF($A137&gt;$B$5,"",(($B$3-$B$14)*$B$8+(B137-($B$3-$B$14))*$B$7)*$B$6/1000000)</f>
        <v/>
      </c>
      <c r="H137" s="28" t="str">
        <f aca="false">IF($A137&gt;$B$5,"",IF(H136+$B$4&gt;$B$11,$B$12,H136+$B$4))</f>
        <v/>
      </c>
      <c r="I137" s="27" t="str">
        <f aca="false">IF($A137&gt;$B$5,"",IF(H136+$B$4&gt;$B$11,1,0))</f>
        <v/>
      </c>
      <c r="J137" s="29" t="str">
        <f aca="false">IF($A137&gt;$B$5,"",H137*$B$6/1000000)</f>
        <v/>
      </c>
      <c r="K137" s="29" t="str">
        <f aca="false">IF($A137&gt;$B$5,"",IF(I137=1,$B$3*$B$8+(H137-$B$3)*$B$7,H136*$B$8+(H137-H136)*$B$7)*$B$6/1000000)</f>
        <v/>
      </c>
      <c r="L137" s="29" t="str">
        <f aca="false">IF($A137&gt;$B$5,"",IF(I137=1,(H136*$B$8+$B$4*$B$7)*$B$6/1000000,0))</f>
        <v/>
      </c>
      <c r="M137" s="30" t="str">
        <f aca="false">IF($A137&gt;$B$5,"",SUM(C$60:C137))</f>
        <v/>
      </c>
      <c r="N137" s="30" t="str">
        <f aca="false">IF($A137&gt;$B$5,"",SUM(J$60:J137))</f>
        <v/>
      </c>
      <c r="O137" s="30" t="str">
        <f aca="false">IF($A137&gt;$B$5,"",SUM(D$60:D137))</f>
        <v/>
      </c>
      <c r="P137" s="30" t="str">
        <f aca="false">IF($A137&gt;$B$5,"",SUM(K$60:K137))</f>
        <v/>
      </c>
    </row>
    <row r="138" customFormat="false" ht="15" hidden="false" customHeight="false" outlineLevel="0" collapsed="false">
      <c r="A138" s="27" t="n">
        <f aca="false">A137+1</f>
        <v>79</v>
      </c>
      <c r="B138" s="28" t="str">
        <f aca="false">IF($A138&gt;$B$5,"",$B$3+$B$4*($A138-1))</f>
        <v/>
      </c>
      <c r="C138" s="29" t="str">
        <f aca="false">IF($A138&gt;$B$5,"",B138*$B$6/1000000)</f>
        <v/>
      </c>
      <c r="D138" s="29" t="str">
        <f aca="false">IF($A138&gt;$B$5,"",(B137*$B$8+(B138-B137)*$B$7)*$B$6/1000000)</f>
        <v/>
      </c>
      <c r="E138" s="29" t="str">
        <f aca="false">IF($A138&gt;$B$5,"",IF(MOD($A138,$B$13)=0,B138*$B$7,B137*$B$8+(B138-B137)*$B$7)*$B$6/1000000)</f>
        <v/>
      </c>
      <c r="F138" s="29" t="str">
        <f aca="false">IF($A138&gt;$B$5,"",(B137*$B$9+(B138-B137)*$B$7)*$B$6/1000000)</f>
        <v/>
      </c>
      <c r="G138" s="29" t="str">
        <f aca="false">IF($A138&gt;$B$5,"",(($B$3-$B$14)*$B$8+(B138-($B$3-$B$14))*$B$7)*$B$6/1000000)</f>
        <v/>
      </c>
      <c r="H138" s="28" t="str">
        <f aca="false">IF($A138&gt;$B$5,"",IF(H137+$B$4&gt;$B$11,$B$12,H137+$B$4))</f>
        <v/>
      </c>
      <c r="I138" s="27" t="str">
        <f aca="false">IF($A138&gt;$B$5,"",IF(H137+$B$4&gt;$B$11,1,0))</f>
        <v/>
      </c>
      <c r="J138" s="29" t="str">
        <f aca="false">IF($A138&gt;$B$5,"",H138*$B$6/1000000)</f>
        <v/>
      </c>
      <c r="K138" s="29" t="str">
        <f aca="false">IF($A138&gt;$B$5,"",IF(I138=1,$B$3*$B$8+(H138-$B$3)*$B$7,H137*$B$8+(H138-H137)*$B$7)*$B$6/1000000)</f>
        <v/>
      </c>
      <c r="L138" s="29" t="str">
        <f aca="false">IF($A138&gt;$B$5,"",IF(I138=1,(H137*$B$8+$B$4*$B$7)*$B$6/1000000,0))</f>
        <v/>
      </c>
      <c r="M138" s="30" t="str">
        <f aca="false">IF($A138&gt;$B$5,"",SUM(C$60:C138))</f>
        <v/>
      </c>
      <c r="N138" s="30" t="str">
        <f aca="false">IF($A138&gt;$B$5,"",SUM(J$60:J138))</f>
        <v/>
      </c>
      <c r="O138" s="30" t="str">
        <f aca="false">IF($A138&gt;$B$5,"",SUM(D$60:D138))</f>
        <v/>
      </c>
      <c r="P138" s="30" t="str">
        <f aca="false">IF($A138&gt;$B$5,"",SUM(K$60:K138))</f>
        <v/>
      </c>
    </row>
    <row r="139" customFormat="false" ht="15" hidden="false" customHeight="false" outlineLevel="0" collapsed="false">
      <c r="A139" s="27" t="n">
        <f aca="false">A138+1</f>
        <v>80</v>
      </c>
      <c r="B139" s="28" t="str">
        <f aca="false">IF($A139&gt;$B$5,"",$B$3+$B$4*($A139-1))</f>
        <v/>
      </c>
      <c r="C139" s="29" t="str">
        <f aca="false">IF($A139&gt;$B$5,"",B139*$B$6/1000000)</f>
        <v/>
      </c>
      <c r="D139" s="29" t="str">
        <f aca="false">IF($A139&gt;$B$5,"",(B138*$B$8+(B139-B138)*$B$7)*$B$6/1000000)</f>
        <v/>
      </c>
      <c r="E139" s="29" t="str">
        <f aca="false">IF($A139&gt;$B$5,"",IF(MOD($A139,$B$13)=0,B139*$B$7,B138*$B$8+(B139-B138)*$B$7)*$B$6/1000000)</f>
        <v/>
      </c>
      <c r="F139" s="29" t="str">
        <f aca="false">IF($A139&gt;$B$5,"",(B138*$B$9+(B139-B138)*$B$7)*$B$6/1000000)</f>
        <v/>
      </c>
      <c r="G139" s="29" t="str">
        <f aca="false">IF($A139&gt;$B$5,"",(($B$3-$B$14)*$B$8+(B139-($B$3-$B$14))*$B$7)*$B$6/1000000)</f>
        <v/>
      </c>
      <c r="H139" s="28" t="str">
        <f aca="false">IF($A139&gt;$B$5,"",IF(H138+$B$4&gt;$B$11,$B$12,H138+$B$4))</f>
        <v/>
      </c>
      <c r="I139" s="27" t="str">
        <f aca="false">IF($A139&gt;$B$5,"",IF(H138+$B$4&gt;$B$11,1,0))</f>
        <v/>
      </c>
      <c r="J139" s="29" t="str">
        <f aca="false">IF($A139&gt;$B$5,"",H139*$B$6/1000000)</f>
        <v/>
      </c>
      <c r="K139" s="29" t="str">
        <f aca="false">IF($A139&gt;$B$5,"",IF(I139=1,$B$3*$B$8+(H139-$B$3)*$B$7,H138*$B$8+(H139-H138)*$B$7)*$B$6/1000000)</f>
        <v/>
      </c>
      <c r="L139" s="29" t="str">
        <f aca="false">IF($A139&gt;$B$5,"",IF(I139=1,(H138*$B$8+$B$4*$B$7)*$B$6/1000000,0))</f>
        <v/>
      </c>
      <c r="M139" s="30" t="str">
        <f aca="false">IF($A139&gt;$B$5,"",SUM(C$60:C139))</f>
        <v/>
      </c>
      <c r="N139" s="30" t="str">
        <f aca="false">IF($A139&gt;$B$5,"",SUM(J$60:J139))</f>
        <v/>
      </c>
      <c r="O139" s="30" t="str">
        <f aca="false">IF($A139&gt;$B$5,"",SUM(D$60:D139))</f>
        <v/>
      </c>
      <c r="P139" s="30" t="str">
        <f aca="false">IF($A139&gt;$B$5,"",SUM(K$60:K139))</f>
        <v/>
      </c>
    </row>
    <row r="140" customFormat="false" ht="15" hidden="false" customHeight="false" outlineLevel="0" collapsed="false">
      <c r="A140" s="27" t="n">
        <f aca="false">A139+1</f>
        <v>81</v>
      </c>
      <c r="B140" s="28" t="str">
        <f aca="false">IF($A140&gt;$B$5,"",$B$3+$B$4*($A140-1))</f>
        <v/>
      </c>
      <c r="C140" s="29" t="str">
        <f aca="false">IF($A140&gt;$B$5,"",B140*$B$6/1000000)</f>
        <v/>
      </c>
      <c r="D140" s="29" t="str">
        <f aca="false">IF($A140&gt;$B$5,"",(B139*$B$8+(B140-B139)*$B$7)*$B$6/1000000)</f>
        <v/>
      </c>
      <c r="E140" s="29" t="str">
        <f aca="false">IF($A140&gt;$B$5,"",IF(MOD($A140,$B$13)=0,B140*$B$7,B139*$B$8+(B140-B139)*$B$7)*$B$6/1000000)</f>
        <v/>
      </c>
      <c r="F140" s="29" t="str">
        <f aca="false">IF($A140&gt;$B$5,"",(B139*$B$9+(B140-B139)*$B$7)*$B$6/1000000)</f>
        <v/>
      </c>
      <c r="G140" s="29" t="str">
        <f aca="false">IF($A140&gt;$B$5,"",(($B$3-$B$14)*$B$8+(B140-($B$3-$B$14))*$B$7)*$B$6/1000000)</f>
        <v/>
      </c>
      <c r="H140" s="28" t="str">
        <f aca="false">IF($A140&gt;$B$5,"",IF(H139+$B$4&gt;$B$11,$B$12,H139+$B$4))</f>
        <v/>
      </c>
      <c r="I140" s="27" t="str">
        <f aca="false">IF($A140&gt;$B$5,"",IF(H139+$B$4&gt;$B$11,1,0))</f>
        <v/>
      </c>
      <c r="J140" s="29" t="str">
        <f aca="false">IF($A140&gt;$B$5,"",H140*$B$6/1000000)</f>
        <v/>
      </c>
      <c r="K140" s="29" t="str">
        <f aca="false">IF($A140&gt;$B$5,"",IF(I140=1,$B$3*$B$8+(H140-$B$3)*$B$7,H139*$B$8+(H140-H139)*$B$7)*$B$6/1000000)</f>
        <v/>
      </c>
      <c r="L140" s="29" t="str">
        <f aca="false">IF($A140&gt;$B$5,"",IF(I140=1,(H139*$B$8+$B$4*$B$7)*$B$6/1000000,0))</f>
        <v/>
      </c>
      <c r="M140" s="30" t="str">
        <f aca="false">IF($A140&gt;$B$5,"",SUM(C$60:C140))</f>
        <v/>
      </c>
      <c r="N140" s="30" t="str">
        <f aca="false">IF($A140&gt;$B$5,"",SUM(J$60:J140))</f>
        <v/>
      </c>
      <c r="O140" s="30" t="str">
        <f aca="false">IF($A140&gt;$B$5,"",SUM(D$60:D140))</f>
        <v/>
      </c>
      <c r="P140" s="30" t="str">
        <f aca="false">IF($A140&gt;$B$5,"",SUM(K$60:K140))</f>
        <v/>
      </c>
    </row>
    <row r="141" customFormat="false" ht="15" hidden="false" customHeight="false" outlineLevel="0" collapsed="false">
      <c r="A141" s="27" t="n">
        <f aca="false">A140+1</f>
        <v>82</v>
      </c>
      <c r="B141" s="28" t="str">
        <f aca="false">IF($A141&gt;$B$5,"",$B$3+$B$4*($A141-1))</f>
        <v/>
      </c>
      <c r="C141" s="29" t="str">
        <f aca="false">IF($A141&gt;$B$5,"",B141*$B$6/1000000)</f>
        <v/>
      </c>
      <c r="D141" s="29" t="str">
        <f aca="false">IF($A141&gt;$B$5,"",(B140*$B$8+(B141-B140)*$B$7)*$B$6/1000000)</f>
        <v/>
      </c>
      <c r="E141" s="29" t="str">
        <f aca="false">IF($A141&gt;$B$5,"",IF(MOD($A141,$B$13)=0,B141*$B$7,B140*$B$8+(B141-B140)*$B$7)*$B$6/1000000)</f>
        <v/>
      </c>
      <c r="F141" s="29" t="str">
        <f aca="false">IF($A141&gt;$B$5,"",(B140*$B$9+(B141-B140)*$B$7)*$B$6/1000000)</f>
        <v/>
      </c>
      <c r="G141" s="29" t="str">
        <f aca="false">IF($A141&gt;$B$5,"",(($B$3-$B$14)*$B$8+(B141-($B$3-$B$14))*$B$7)*$B$6/1000000)</f>
        <v/>
      </c>
      <c r="H141" s="28" t="str">
        <f aca="false">IF($A141&gt;$B$5,"",IF(H140+$B$4&gt;$B$11,$B$12,H140+$B$4))</f>
        <v/>
      </c>
      <c r="I141" s="27" t="str">
        <f aca="false">IF($A141&gt;$B$5,"",IF(H140+$B$4&gt;$B$11,1,0))</f>
        <v/>
      </c>
      <c r="J141" s="29" t="str">
        <f aca="false">IF($A141&gt;$B$5,"",H141*$B$6/1000000)</f>
        <v/>
      </c>
      <c r="K141" s="29" t="str">
        <f aca="false">IF($A141&gt;$B$5,"",IF(I141=1,$B$3*$B$8+(H141-$B$3)*$B$7,H140*$B$8+(H141-H140)*$B$7)*$B$6/1000000)</f>
        <v/>
      </c>
      <c r="L141" s="29" t="str">
        <f aca="false">IF($A141&gt;$B$5,"",IF(I141=1,(H140*$B$8+$B$4*$B$7)*$B$6/1000000,0))</f>
        <v/>
      </c>
      <c r="M141" s="30" t="str">
        <f aca="false">IF($A141&gt;$B$5,"",SUM(C$60:C141))</f>
        <v/>
      </c>
      <c r="N141" s="30" t="str">
        <f aca="false">IF($A141&gt;$B$5,"",SUM(J$60:J141))</f>
        <v/>
      </c>
      <c r="O141" s="30" t="str">
        <f aca="false">IF($A141&gt;$B$5,"",SUM(D$60:D141))</f>
        <v/>
      </c>
      <c r="P141" s="30" t="str">
        <f aca="false">IF($A141&gt;$B$5,"",SUM(K$60:K141))</f>
        <v/>
      </c>
    </row>
    <row r="142" customFormat="false" ht="15" hidden="false" customHeight="false" outlineLevel="0" collapsed="false">
      <c r="A142" s="27" t="n">
        <f aca="false">A141+1</f>
        <v>83</v>
      </c>
      <c r="B142" s="28" t="str">
        <f aca="false">IF($A142&gt;$B$5,"",$B$3+$B$4*($A142-1))</f>
        <v/>
      </c>
      <c r="C142" s="29" t="str">
        <f aca="false">IF($A142&gt;$B$5,"",B142*$B$6/1000000)</f>
        <v/>
      </c>
      <c r="D142" s="29" t="str">
        <f aca="false">IF($A142&gt;$B$5,"",(B141*$B$8+(B142-B141)*$B$7)*$B$6/1000000)</f>
        <v/>
      </c>
      <c r="E142" s="29" t="str">
        <f aca="false">IF($A142&gt;$B$5,"",IF(MOD($A142,$B$13)=0,B142*$B$7,B141*$B$8+(B142-B141)*$B$7)*$B$6/1000000)</f>
        <v/>
      </c>
      <c r="F142" s="29" t="str">
        <f aca="false">IF($A142&gt;$B$5,"",(B141*$B$9+(B142-B141)*$B$7)*$B$6/1000000)</f>
        <v/>
      </c>
      <c r="G142" s="29" t="str">
        <f aca="false">IF($A142&gt;$B$5,"",(($B$3-$B$14)*$B$8+(B142-($B$3-$B$14))*$B$7)*$B$6/1000000)</f>
        <v/>
      </c>
      <c r="H142" s="28" t="str">
        <f aca="false">IF($A142&gt;$B$5,"",IF(H141+$B$4&gt;$B$11,$B$12,H141+$B$4))</f>
        <v/>
      </c>
      <c r="I142" s="27" t="str">
        <f aca="false">IF($A142&gt;$B$5,"",IF(H141+$B$4&gt;$B$11,1,0))</f>
        <v/>
      </c>
      <c r="J142" s="29" t="str">
        <f aca="false">IF($A142&gt;$B$5,"",H142*$B$6/1000000)</f>
        <v/>
      </c>
      <c r="K142" s="29" t="str">
        <f aca="false">IF($A142&gt;$B$5,"",IF(I142=1,$B$3*$B$8+(H142-$B$3)*$B$7,H141*$B$8+(H142-H141)*$B$7)*$B$6/1000000)</f>
        <v/>
      </c>
      <c r="L142" s="29" t="str">
        <f aca="false">IF($A142&gt;$B$5,"",IF(I142=1,(H141*$B$8+$B$4*$B$7)*$B$6/1000000,0))</f>
        <v/>
      </c>
      <c r="M142" s="30" t="str">
        <f aca="false">IF($A142&gt;$B$5,"",SUM(C$60:C142))</f>
        <v/>
      </c>
      <c r="N142" s="30" t="str">
        <f aca="false">IF($A142&gt;$B$5,"",SUM(J$60:J142))</f>
        <v/>
      </c>
      <c r="O142" s="30" t="str">
        <f aca="false">IF($A142&gt;$B$5,"",SUM(D$60:D142))</f>
        <v/>
      </c>
      <c r="P142" s="30" t="str">
        <f aca="false">IF($A142&gt;$B$5,"",SUM(K$60:K142))</f>
        <v/>
      </c>
    </row>
    <row r="143" customFormat="false" ht="15" hidden="false" customHeight="false" outlineLevel="0" collapsed="false">
      <c r="A143" s="27" t="n">
        <f aca="false">A142+1</f>
        <v>84</v>
      </c>
      <c r="B143" s="28" t="str">
        <f aca="false">IF($A143&gt;$B$5,"",$B$3+$B$4*($A143-1))</f>
        <v/>
      </c>
      <c r="C143" s="29" t="str">
        <f aca="false">IF($A143&gt;$B$5,"",B143*$B$6/1000000)</f>
        <v/>
      </c>
      <c r="D143" s="29" t="str">
        <f aca="false">IF($A143&gt;$B$5,"",(B142*$B$8+(B143-B142)*$B$7)*$B$6/1000000)</f>
        <v/>
      </c>
      <c r="E143" s="29" t="str">
        <f aca="false">IF($A143&gt;$B$5,"",IF(MOD($A143,$B$13)=0,B143*$B$7,B142*$B$8+(B143-B142)*$B$7)*$B$6/1000000)</f>
        <v/>
      </c>
      <c r="F143" s="29" t="str">
        <f aca="false">IF($A143&gt;$B$5,"",(B142*$B$9+(B143-B142)*$B$7)*$B$6/1000000)</f>
        <v/>
      </c>
      <c r="G143" s="29" t="str">
        <f aca="false">IF($A143&gt;$B$5,"",(($B$3-$B$14)*$B$8+(B143-($B$3-$B$14))*$B$7)*$B$6/1000000)</f>
        <v/>
      </c>
      <c r="H143" s="28" t="str">
        <f aca="false">IF($A143&gt;$B$5,"",IF(H142+$B$4&gt;$B$11,$B$12,H142+$B$4))</f>
        <v/>
      </c>
      <c r="I143" s="27" t="str">
        <f aca="false">IF($A143&gt;$B$5,"",IF(H142+$B$4&gt;$B$11,1,0))</f>
        <v/>
      </c>
      <c r="J143" s="29" t="str">
        <f aca="false">IF($A143&gt;$B$5,"",H143*$B$6/1000000)</f>
        <v/>
      </c>
      <c r="K143" s="29" t="str">
        <f aca="false">IF($A143&gt;$B$5,"",IF(I143=1,$B$3*$B$8+(H143-$B$3)*$B$7,H142*$B$8+(H143-H142)*$B$7)*$B$6/1000000)</f>
        <v/>
      </c>
      <c r="L143" s="29" t="str">
        <f aca="false">IF($A143&gt;$B$5,"",IF(I143=1,(H142*$B$8+$B$4*$B$7)*$B$6/1000000,0))</f>
        <v/>
      </c>
      <c r="M143" s="30" t="str">
        <f aca="false">IF($A143&gt;$B$5,"",SUM(C$60:C143))</f>
        <v/>
      </c>
      <c r="N143" s="30" t="str">
        <f aca="false">IF($A143&gt;$B$5,"",SUM(J$60:J143))</f>
        <v/>
      </c>
      <c r="O143" s="30" t="str">
        <f aca="false">IF($A143&gt;$B$5,"",SUM(D$60:D143))</f>
        <v/>
      </c>
      <c r="P143" s="30" t="str">
        <f aca="false">IF($A143&gt;$B$5,"",SUM(K$60:K143))</f>
        <v/>
      </c>
    </row>
    <row r="144" customFormat="false" ht="15" hidden="false" customHeight="false" outlineLevel="0" collapsed="false">
      <c r="A144" s="27" t="n">
        <f aca="false">A143+1</f>
        <v>85</v>
      </c>
      <c r="B144" s="28" t="str">
        <f aca="false">IF($A144&gt;$B$5,"",$B$3+$B$4*($A144-1))</f>
        <v/>
      </c>
      <c r="C144" s="29" t="str">
        <f aca="false">IF($A144&gt;$B$5,"",B144*$B$6/1000000)</f>
        <v/>
      </c>
      <c r="D144" s="29" t="str">
        <f aca="false">IF($A144&gt;$B$5,"",(B143*$B$8+(B144-B143)*$B$7)*$B$6/1000000)</f>
        <v/>
      </c>
      <c r="E144" s="29" t="str">
        <f aca="false">IF($A144&gt;$B$5,"",IF(MOD($A144,$B$13)=0,B144*$B$7,B143*$B$8+(B144-B143)*$B$7)*$B$6/1000000)</f>
        <v/>
      </c>
      <c r="F144" s="29" t="str">
        <f aca="false">IF($A144&gt;$B$5,"",(B143*$B$9+(B144-B143)*$B$7)*$B$6/1000000)</f>
        <v/>
      </c>
      <c r="G144" s="29" t="str">
        <f aca="false">IF($A144&gt;$B$5,"",(($B$3-$B$14)*$B$8+(B144-($B$3-$B$14))*$B$7)*$B$6/1000000)</f>
        <v/>
      </c>
      <c r="H144" s="28" t="str">
        <f aca="false">IF($A144&gt;$B$5,"",IF(H143+$B$4&gt;$B$11,$B$12,H143+$B$4))</f>
        <v/>
      </c>
      <c r="I144" s="27" t="str">
        <f aca="false">IF($A144&gt;$B$5,"",IF(H143+$B$4&gt;$B$11,1,0))</f>
        <v/>
      </c>
      <c r="J144" s="29" t="str">
        <f aca="false">IF($A144&gt;$B$5,"",H144*$B$6/1000000)</f>
        <v/>
      </c>
      <c r="K144" s="29" t="str">
        <f aca="false">IF($A144&gt;$B$5,"",IF(I144=1,$B$3*$B$8+(H144-$B$3)*$B$7,H143*$B$8+(H144-H143)*$B$7)*$B$6/1000000)</f>
        <v/>
      </c>
      <c r="L144" s="29" t="str">
        <f aca="false">IF($A144&gt;$B$5,"",IF(I144=1,(H143*$B$8+$B$4*$B$7)*$B$6/1000000,0))</f>
        <v/>
      </c>
      <c r="M144" s="30" t="str">
        <f aca="false">IF($A144&gt;$B$5,"",SUM(C$60:C144))</f>
        <v/>
      </c>
      <c r="N144" s="30" t="str">
        <f aca="false">IF($A144&gt;$B$5,"",SUM(J$60:J144))</f>
        <v/>
      </c>
      <c r="O144" s="30" t="str">
        <f aca="false">IF($A144&gt;$B$5,"",SUM(D$60:D144))</f>
        <v/>
      </c>
      <c r="P144" s="30" t="str">
        <f aca="false">IF($A144&gt;$B$5,"",SUM(K$60:K144))</f>
        <v/>
      </c>
    </row>
    <row r="145" customFormat="false" ht="15" hidden="false" customHeight="false" outlineLevel="0" collapsed="false">
      <c r="A145" s="27" t="n">
        <f aca="false">A144+1</f>
        <v>86</v>
      </c>
      <c r="B145" s="28" t="str">
        <f aca="false">IF($A145&gt;$B$5,"",$B$3+$B$4*($A145-1))</f>
        <v/>
      </c>
      <c r="C145" s="29" t="str">
        <f aca="false">IF($A145&gt;$B$5,"",B145*$B$6/1000000)</f>
        <v/>
      </c>
      <c r="D145" s="29" t="str">
        <f aca="false">IF($A145&gt;$B$5,"",(B144*$B$8+(B145-B144)*$B$7)*$B$6/1000000)</f>
        <v/>
      </c>
      <c r="E145" s="29" t="str">
        <f aca="false">IF($A145&gt;$B$5,"",IF(MOD($A145,$B$13)=0,B145*$B$7,B144*$B$8+(B145-B144)*$B$7)*$B$6/1000000)</f>
        <v/>
      </c>
      <c r="F145" s="29" t="str">
        <f aca="false">IF($A145&gt;$B$5,"",(B144*$B$9+(B145-B144)*$B$7)*$B$6/1000000)</f>
        <v/>
      </c>
      <c r="G145" s="29" t="str">
        <f aca="false">IF($A145&gt;$B$5,"",(($B$3-$B$14)*$B$8+(B145-($B$3-$B$14))*$B$7)*$B$6/1000000)</f>
        <v/>
      </c>
      <c r="H145" s="28" t="str">
        <f aca="false">IF($A145&gt;$B$5,"",IF(H144+$B$4&gt;$B$11,$B$12,H144+$B$4))</f>
        <v/>
      </c>
      <c r="I145" s="27" t="str">
        <f aca="false">IF($A145&gt;$B$5,"",IF(H144+$B$4&gt;$B$11,1,0))</f>
        <v/>
      </c>
      <c r="J145" s="29" t="str">
        <f aca="false">IF($A145&gt;$B$5,"",H145*$B$6/1000000)</f>
        <v/>
      </c>
      <c r="K145" s="29" t="str">
        <f aca="false">IF($A145&gt;$B$5,"",IF(I145=1,$B$3*$B$8+(H145-$B$3)*$B$7,H144*$B$8+(H145-H144)*$B$7)*$B$6/1000000)</f>
        <v/>
      </c>
      <c r="L145" s="29" t="str">
        <f aca="false">IF($A145&gt;$B$5,"",IF(I145=1,(H144*$B$8+$B$4*$B$7)*$B$6/1000000,0))</f>
        <v/>
      </c>
      <c r="M145" s="30" t="str">
        <f aca="false">IF($A145&gt;$B$5,"",SUM(C$60:C145))</f>
        <v/>
      </c>
      <c r="N145" s="30" t="str">
        <f aca="false">IF($A145&gt;$B$5,"",SUM(J$60:J145))</f>
        <v/>
      </c>
      <c r="O145" s="30" t="str">
        <f aca="false">IF($A145&gt;$B$5,"",SUM(D$60:D145))</f>
        <v/>
      </c>
      <c r="P145" s="30" t="str">
        <f aca="false">IF($A145&gt;$B$5,"",SUM(K$60:K145))</f>
        <v/>
      </c>
    </row>
    <row r="146" customFormat="false" ht="15" hidden="false" customHeight="false" outlineLevel="0" collapsed="false">
      <c r="A146" s="27" t="n">
        <f aca="false">A145+1</f>
        <v>87</v>
      </c>
      <c r="B146" s="28" t="str">
        <f aca="false">IF($A146&gt;$B$5,"",$B$3+$B$4*($A146-1))</f>
        <v/>
      </c>
      <c r="C146" s="29" t="str">
        <f aca="false">IF($A146&gt;$B$5,"",B146*$B$6/1000000)</f>
        <v/>
      </c>
      <c r="D146" s="29" t="str">
        <f aca="false">IF($A146&gt;$B$5,"",(B145*$B$8+(B146-B145)*$B$7)*$B$6/1000000)</f>
        <v/>
      </c>
      <c r="E146" s="29" t="str">
        <f aca="false">IF($A146&gt;$B$5,"",IF(MOD($A146,$B$13)=0,B146*$B$7,B145*$B$8+(B146-B145)*$B$7)*$B$6/1000000)</f>
        <v/>
      </c>
      <c r="F146" s="29" t="str">
        <f aca="false">IF($A146&gt;$B$5,"",(B145*$B$9+(B146-B145)*$B$7)*$B$6/1000000)</f>
        <v/>
      </c>
      <c r="G146" s="29" t="str">
        <f aca="false">IF($A146&gt;$B$5,"",(($B$3-$B$14)*$B$8+(B146-($B$3-$B$14))*$B$7)*$B$6/1000000)</f>
        <v/>
      </c>
      <c r="H146" s="28" t="str">
        <f aca="false">IF($A146&gt;$B$5,"",IF(H145+$B$4&gt;$B$11,$B$12,H145+$B$4))</f>
        <v/>
      </c>
      <c r="I146" s="27" t="str">
        <f aca="false">IF($A146&gt;$B$5,"",IF(H145+$B$4&gt;$B$11,1,0))</f>
        <v/>
      </c>
      <c r="J146" s="29" t="str">
        <f aca="false">IF($A146&gt;$B$5,"",H146*$B$6/1000000)</f>
        <v/>
      </c>
      <c r="K146" s="29" t="str">
        <f aca="false">IF($A146&gt;$B$5,"",IF(I146=1,$B$3*$B$8+(H146-$B$3)*$B$7,H145*$B$8+(H146-H145)*$B$7)*$B$6/1000000)</f>
        <v/>
      </c>
      <c r="L146" s="29" t="str">
        <f aca="false">IF($A146&gt;$B$5,"",IF(I146=1,(H145*$B$8+$B$4*$B$7)*$B$6/1000000,0))</f>
        <v/>
      </c>
      <c r="M146" s="30" t="str">
        <f aca="false">IF($A146&gt;$B$5,"",SUM(C$60:C146))</f>
        <v/>
      </c>
      <c r="N146" s="30" t="str">
        <f aca="false">IF($A146&gt;$B$5,"",SUM(J$60:J146))</f>
        <v/>
      </c>
      <c r="O146" s="30" t="str">
        <f aca="false">IF($A146&gt;$B$5,"",SUM(D$60:D146))</f>
        <v/>
      </c>
      <c r="P146" s="30" t="str">
        <f aca="false">IF($A146&gt;$B$5,"",SUM(K$60:K146))</f>
        <v/>
      </c>
    </row>
    <row r="147" customFormat="false" ht="15" hidden="false" customHeight="false" outlineLevel="0" collapsed="false">
      <c r="A147" s="27" t="n">
        <f aca="false">A146+1</f>
        <v>88</v>
      </c>
      <c r="B147" s="28" t="str">
        <f aca="false">IF($A147&gt;$B$5,"",$B$3+$B$4*($A147-1))</f>
        <v/>
      </c>
      <c r="C147" s="29" t="str">
        <f aca="false">IF($A147&gt;$B$5,"",B147*$B$6/1000000)</f>
        <v/>
      </c>
      <c r="D147" s="29" t="str">
        <f aca="false">IF($A147&gt;$B$5,"",(B146*$B$8+(B147-B146)*$B$7)*$B$6/1000000)</f>
        <v/>
      </c>
      <c r="E147" s="29" t="str">
        <f aca="false">IF($A147&gt;$B$5,"",IF(MOD($A147,$B$13)=0,B147*$B$7,B146*$B$8+(B147-B146)*$B$7)*$B$6/1000000)</f>
        <v/>
      </c>
      <c r="F147" s="29" t="str">
        <f aca="false">IF($A147&gt;$B$5,"",(B146*$B$9+(B147-B146)*$B$7)*$B$6/1000000)</f>
        <v/>
      </c>
      <c r="G147" s="29" t="str">
        <f aca="false">IF($A147&gt;$B$5,"",(($B$3-$B$14)*$B$8+(B147-($B$3-$B$14))*$B$7)*$B$6/1000000)</f>
        <v/>
      </c>
      <c r="H147" s="28" t="str">
        <f aca="false">IF($A147&gt;$B$5,"",IF(H146+$B$4&gt;$B$11,$B$12,H146+$B$4))</f>
        <v/>
      </c>
      <c r="I147" s="27" t="str">
        <f aca="false">IF($A147&gt;$B$5,"",IF(H146+$B$4&gt;$B$11,1,0))</f>
        <v/>
      </c>
      <c r="J147" s="29" t="str">
        <f aca="false">IF($A147&gt;$B$5,"",H147*$B$6/1000000)</f>
        <v/>
      </c>
      <c r="K147" s="29" t="str">
        <f aca="false">IF($A147&gt;$B$5,"",IF(I147=1,$B$3*$B$8+(H147-$B$3)*$B$7,H146*$B$8+(H147-H146)*$B$7)*$B$6/1000000)</f>
        <v/>
      </c>
      <c r="L147" s="29" t="str">
        <f aca="false">IF($A147&gt;$B$5,"",IF(I147=1,(H146*$B$8+$B$4*$B$7)*$B$6/1000000,0))</f>
        <v/>
      </c>
      <c r="M147" s="30" t="str">
        <f aca="false">IF($A147&gt;$B$5,"",SUM(C$60:C147))</f>
        <v/>
      </c>
      <c r="N147" s="30" t="str">
        <f aca="false">IF($A147&gt;$B$5,"",SUM(J$60:J147))</f>
        <v/>
      </c>
      <c r="O147" s="30" t="str">
        <f aca="false">IF($A147&gt;$B$5,"",SUM(D$60:D147))</f>
        <v/>
      </c>
      <c r="P147" s="30" t="str">
        <f aca="false">IF($A147&gt;$B$5,"",SUM(K$60:K147))</f>
        <v/>
      </c>
    </row>
    <row r="148" customFormat="false" ht="15" hidden="false" customHeight="false" outlineLevel="0" collapsed="false">
      <c r="A148" s="27" t="n">
        <f aca="false">A147+1</f>
        <v>89</v>
      </c>
      <c r="B148" s="28" t="str">
        <f aca="false">IF($A148&gt;$B$5,"",$B$3+$B$4*($A148-1))</f>
        <v/>
      </c>
      <c r="C148" s="29" t="str">
        <f aca="false">IF($A148&gt;$B$5,"",B148*$B$6/1000000)</f>
        <v/>
      </c>
      <c r="D148" s="29" t="str">
        <f aca="false">IF($A148&gt;$B$5,"",(B147*$B$8+(B148-B147)*$B$7)*$B$6/1000000)</f>
        <v/>
      </c>
      <c r="E148" s="29" t="str">
        <f aca="false">IF($A148&gt;$B$5,"",IF(MOD($A148,$B$13)=0,B148*$B$7,B147*$B$8+(B148-B147)*$B$7)*$B$6/1000000)</f>
        <v/>
      </c>
      <c r="F148" s="29" t="str">
        <f aca="false">IF($A148&gt;$B$5,"",(B147*$B$9+(B148-B147)*$B$7)*$B$6/1000000)</f>
        <v/>
      </c>
      <c r="G148" s="29" t="str">
        <f aca="false">IF($A148&gt;$B$5,"",(($B$3-$B$14)*$B$8+(B148-($B$3-$B$14))*$B$7)*$B$6/1000000)</f>
        <v/>
      </c>
      <c r="H148" s="28" t="str">
        <f aca="false">IF($A148&gt;$B$5,"",IF(H147+$B$4&gt;$B$11,$B$12,H147+$B$4))</f>
        <v/>
      </c>
      <c r="I148" s="27" t="str">
        <f aca="false">IF($A148&gt;$B$5,"",IF(H147+$B$4&gt;$B$11,1,0))</f>
        <v/>
      </c>
      <c r="J148" s="29" t="str">
        <f aca="false">IF($A148&gt;$B$5,"",H148*$B$6/1000000)</f>
        <v/>
      </c>
      <c r="K148" s="29" t="str">
        <f aca="false">IF($A148&gt;$B$5,"",IF(I148=1,$B$3*$B$8+(H148-$B$3)*$B$7,H147*$B$8+(H148-H147)*$B$7)*$B$6/1000000)</f>
        <v/>
      </c>
      <c r="L148" s="29" t="str">
        <f aca="false">IF($A148&gt;$B$5,"",IF(I148=1,(H147*$B$8+$B$4*$B$7)*$B$6/1000000,0))</f>
        <v/>
      </c>
      <c r="M148" s="30" t="str">
        <f aca="false">IF($A148&gt;$B$5,"",SUM(C$60:C148))</f>
        <v/>
      </c>
      <c r="N148" s="30" t="str">
        <f aca="false">IF($A148&gt;$B$5,"",SUM(J$60:J148))</f>
        <v/>
      </c>
      <c r="O148" s="30" t="str">
        <f aca="false">IF($A148&gt;$B$5,"",SUM(D$60:D148))</f>
        <v/>
      </c>
      <c r="P148" s="30" t="str">
        <f aca="false">IF($A148&gt;$B$5,"",SUM(K$60:K148))</f>
        <v/>
      </c>
    </row>
    <row r="149" customFormat="false" ht="15" hidden="false" customHeight="false" outlineLevel="0" collapsed="false">
      <c r="A149" s="27" t="n">
        <f aca="false">A148+1</f>
        <v>90</v>
      </c>
      <c r="B149" s="28" t="str">
        <f aca="false">IF($A149&gt;$B$5,"",$B$3+$B$4*($A149-1))</f>
        <v/>
      </c>
      <c r="C149" s="29" t="str">
        <f aca="false">IF($A149&gt;$B$5,"",B149*$B$6/1000000)</f>
        <v/>
      </c>
      <c r="D149" s="29" t="str">
        <f aca="false">IF($A149&gt;$B$5,"",(B148*$B$8+(B149-B148)*$B$7)*$B$6/1000000)</f>
        <v/>
      </c>
      <c r="E149" s="29" t="str">
        <f aca="false">IF($A149&gt;$B$5,"",IF(MOD($A149,$B$13)=0,B149*$B$7,B148*$B$8+(B149-B148)*$B$7)*$B$6/1000000)</f>
        <v/>
      </c>
      <c r="F149" s="29" t="str">
        <f aca="false">IF($A149&gt;$B$5,"",(B148*$B$9+(B149-B148)*$B$7)*$B$6/1000000)</f>
        <v/>
      </c>
      <c r="G149" s="29" t="str">
        <f aca="false">IF($A149&gt;$B$5,"",(($B$3-$B$14)*$B$8+(B149-($B$3-$B$14))*$B$7)*$B$6/1000000)</f>
        <v/>
      </c>
      <c r="H149" s="28" t="str">
        <f aca="false">IF($A149&gt;$B$5,"",IF(H148+$B$4&gt;$B$11,$B$12,H148+$B$4))</f>
        <v/>
      </c>
      <c r="I149" s="27" t="str">
        <f aca="false">IF($A149&gt;$B$5,"",IF(H148+$B$4&gt;$B$11,1,0))</f>
        <v/>
      </c>
      <c r="J149" s="29" t="str">
        <f aca="false">IF($A149&gt;$B$5,"",H149*$B$6/1000000)</f>
        <v/>
      </c>
      <c r="K149" s="29" t="str">
        <f aca="false">IF($A149&gt;$B$5,"",IF(I149=1,$B$3*$B$8+(H149-$B$3)*$B$7,H148*$B$8+(H149-H148)*$B$7)*$B$6/1000000)</f>
        <v/>
      </c>
      <c r="L149" s="29" t="str">
        <f aca="false">IF($A149&gt;$B$5,"",IF(I149=1,(H148*$B$8+$B$4*$B$7)*$B$6/1000000,0))</f>
        <v/>
      </c>
      <c r="M149" s="30" t="str">
        <f aca="false">IF($A149&gt;$B$5,"",SUM(C$60:C149))</f>
        <v/>
      </c>
      <c r="N149" s="30" t="str">
        <f aca="false">IF($A149&gt;$B$5,"",SUM(J$60:J149))</f>
        <v/>
      </c>
      <c r="O149" s="30" t="str">
        <f aca="false">IF($A149&gt;$B$5,"",SUM(D$60:D149))</f>
        <v/>
      </c>
      <c r="P149" s="30" t="str">
        <f aca="false">IF($A149&gt;$B$5,"",SUM(K$60:K149))</f>
        <v/>
      </c>
    </row>
    <row r="150" customFormat="false" ht="15" hidden="false" customHeight="false" outlineLevel="0" collapsed="false">
      <c r="A150" s="27" t="n">
        <f aca="false">A149+1</f>
        <v>91</v>
      </c>
      <c r="B150" s="28" t="str">
        <f aca="false">IF($A150&gt;$B$5,"",$B$3+$B$4*($A150-1))</f>
        <v/>
      </c>
      <c r="C150" s="29" t="str">
        <f aca="false">IF($A150&gt;$B$5,"",B150*$B$6/1000000)</f>
        <v/>
      </c>
      <c r="D150" s="29" t="str">
        <f aca="false">IF($A150&gt;$B$5,"",(B149*$B$8+(B150-B149)*$B$7)*$B$6/1000000)</f>
        <v/>
      </c>
      <c r="E150" s="29" t="str">
        <f aca="false">IF($A150&gt;$B$5,"",IF(MOD($A150,$B$13)=0,B150*$B$7,B149*$B$8+(B150-B149)*$B$7)*$B$6/1000000)</f>
        <v/>
      </c>
      <c r="F150" s="29" t="str">
        <f aca="false">IF($A150&gt;$B$5,"",(B149*$B$9+(B150-B149)*$B$7)*$B$6/1000000)</f>
        <v/>
      </c>
      <c r="G150" s="29" t="str">
        <f aca="false">IF($A150&gt;$B$5,"",(($B$3-$B$14)*$B$8+(B150-($B$3-$B$14))*$B$7)*$B$6/1000000)</f>
        <v/>
      </c>
      <c r="H150" s="28" t="str">
        <f aca="false">IF($A150&gt;$B$5,"",IF(H149+$B$4&gt;$B$11,$B$12,H149+$B$4))</f>
        <v/>
      </c>
      <c r="I150" s="27" t="str">
        <f aca="false">IF($A150&gt;$B$5,"",IF(H149+$B$4&gt;$B$11,1,0))</f>
        <v/>
      </c>
      <c r="J150" s="29" t="str">
        <f aca="false">IF($A150&gt;$B$5,"",H150*$B$6/1000000)</f>
        <v/>
      </c>
      <c r="K150" s="29" t="str">
        <f aca="false">IF($A150&gt;$B$5,"",IF(I150=1,$B$3*$B$8+(H150-$B$3)*$B$7,H149*$B$8+(H150-H149)*$B$7)*$B$6/1000000)</f>
        <v/>
      </c>
      <c r="L150" s="29" t="str">
        <f aca="false">IF($A150&gt;$B$5,"",IF(I150=1,(H149*$B$8+$B$4*$B$7)*$B$6/1000000,0))</f>
        <v/>
      </c>
      <c r="M150" s="30" t="str">
        <f aca="false">IF($A150&gt;$B$5,"",SUM(C$60:C150))</f>
        <v/>
      </c>
      <c r="N150" s="30" t="str">
        <f aca="false">IF($A150&gt;$B$5,"",SUM(J$60:J150))</f>
        <v/>
      </c>
      <c r="O150" s="30" t="str">
        <f aca="false">IF($A150&gt;$B$5,"",SUM(D$60:D150))</f>
        <v/>
      </c>
      <c r="P150" s="30" t="str">
        <f aca="false">IF($A150&gt;$B$5,"",SUM(K$60:K150))</f>
        <v/>
      </c>
    </row>
    <row r="151" customFormat="false" ht="15" hidden="false" customHeight="false" outlineLevel="0" collapsed="false">
      <c r="A151" s="27" t="n">
        <f aca="false">A150+1</f>
        <v>92</v>
      </c>
      <c r="B151" s="28" t="str">
        <f aca="false">IF($A151&gt;$B$5,"",$B$3+$B$4*($A151-1))</f>
        <v/>
      </c>
      <c r="C151" s="29" t="str">
        <f aca="false">IF($A151&gt;$B$5,"",B151*$B$6/1000000)</f>
        <v/>
      </c>
      <c r="D151" s="29" t="str">
        <f aca="false">IF($A151&gt;$B$5,"",(B150*$B$8+(B151-B150)*$B$7)*$B$6/1000000)</f>
        <v/>
      </c>
      <c r="E151" s="29" t="str">
        <f aca="false">IF($A151&gt;$B$5,"",IF(MOD($A151,$B$13)=0,B151*$B$7,B150*$B$8+(B151-B150)*$B$7)*$B$6/1000000)</f>
        <v/>
      </c>
      <c r="F151" s="29" t="str">
        <f aca="false">IF($A151&gt;$B$5,"",(B150*$B$9+(B151-B150)*$B$7)*$B$6/1000000)</f>
        <v/>
      </c>
      <c r="G151" s="29" t="str">
        <f aca="false">IF($A151&gt;$B$5,"",(($B$3-$B$14)*$B$8+(B151-($B$3-$B$14))*$B$7)*$B$6/1000000)</f>
        <v/>
      </c>
      <c r="H151" s="28" t="str">
        <f aca="false">IF($A151&gt;$B$5,"",IF(H150+$B$4&gt;$B$11,$B$12,H150+$B$4))</f>
        <v/>
      </c>
      <c r="I151" s="27" t="str">
        <f aca="false">IF($A151&gt;$B$5,"",IF(H150+$B$4&gt;$B$11,1,0))</f>
        <v/>
      </c>
      <c r="J151" s="29" t="str">
        <f aca="false">IF($A151&gt;$B$5,"",H151*$B$6/1000000)</f>
        <v/>
      </c>
      <c r="K151" s="29" t="str">
        <f aca="false">IF($A151&gt;$B$5,"",IF(I151=1,$B$3*$B$8+(H151-$B$3)*$B$7,H150*$B$8+(H151-H150)*$B$7)*$B$6/1000000)</f>
        <v/>
      </c>
      <c r="L151" s="29" t="str">
        <f aca="false">IF($A151&gt;$B$5,"",IF(I151=1,(H150*$B$8+$B$4*$B$7)*$B$6/1000000,0))</f>
        <v/>
      </c>
      <c r="M151" s="30" t="str">
        <f aca="false">IF($A151&gt;$B$5,"",SUM(C$60:C151))</f>
        <v/>
      </c>
      <c r="N151" s="30" t="str">
        <f aca="false">IF($A151&gt;$B$5,"",SUM(J$60:J151))</f>
        <v/>
      </c>
      <c r="O151" s="30" t="str">
        <f aca="false">IF($A151&gt;$B$5,"",SUM(D$60:D151))</f>
        <v/>
      </c>
      <c r="P151" s="30" t="str">
        <f aca="false">IF($A151&gt;$B$5,"",SUM(K$60:K151))</f>
        <v/>
      </c>
    </row>
    <row r="152" customFormat="false" ht="15" hidden="false" customHeight="false" outlineLevel="0" collapsed="false">
      <c r="A152" s="27" t="n">
        <f aca="false">A151+1</f>
        <v>93</v>
      </c>
      <c r="B152" s="28" t="str">
        <f aca="false">IF($A152&gt;$B$5,"",$B$3+$B$4*($A152-1))</f>
        <v/>
      </c>
      <c r="C152" s="29" t="str">
        <f aca="false">IF($A152&gt;$B$5,"",B152*$B$6/1000000)</f>
        <v/>
      </c>
      <c r="D152" s="29" t="str">
        <f aca="false">IF($A152&gt;$B$5,"",(B151*$B$8+(B152-B151)*$B$7)*$B$6/1000000)</f>
        <v/>
      </c>
      <c r="E152" s="29" t="str">
        <f aca="false">IF($A152&gt;$B$5,"",IF(MOD($A152,$B$13)=0,B152*$B$7,B151*$B$8+(B152-B151)*$B$7)*$B$6/1000000)</f>
        <v/>
      </c>
      <c r="F152" s="29" t="str">
        <f aca="false">IF($A152&gt;$B$5,"",(B151*$B$9+(B152-B151)*$B$7)*$B$6/1000000)</f>
        <v/>
      </c>
      <c r="G152" s="29" t="str">
        <f aca="false">IF($A152&gt;$B$5,"",(($B$3-$B$14)*$B$8+(B152-($B$3-$B$14))*$B$7)*$B$6/1000000)</f>
        <v/>
      </c>
      <c r="H152" s="28" t="str">
        <f aca="false">IF($A152&gt;$B$5,"",IF(H151+$B$4&gt;$B$11,$B$12,H151+$B$4))</f>
        <v/>
      </c>
      <c r="I152" s="27" t="str">
        <f aca="false">IF($A152&gt;$B$5,"",IF(H151+$B$4&gt;$B$11,1,0))</f>
        <v/>
      </c>
      <c r="J152" s="29" t="str">
        <f aca="false">IF($A152&gt;$B$5,"",H152*$B$6/1000000)</f>
        <v/>
      </c>
      <c r="K152" s="29" t="str">
        <f aca="false">IF($A152&gt;$B$5,"",IF(I152=1,$B$3*$B$8+(H152-$B$3)*$B$7,H151*$B$8+(H152-H151)*$B$7)*$B$6/1000000)</f>
        <v/>
      </c>
      <c r="L152" s="29" t="str">
        <f aca="false">IF($A152&gt;$B$5,"",IF(I152=1,(H151*$B$8+$B$4*$B$7)*$B$6/1000000,0))</f>
        <v/>
      </c>
      <c r="M152" s="30" t="str">
        <f aca="false">IF($A152&gt;$B$5,"",SUM(C$60:C152))</f>
        <v/>
      </c>
      <c r="N152" s="30" t="str">
        <f aca="false">IF($A152&gt;$B$5,"",SUM(J$60:J152))</f>
        <v/>
      </c>
      <c r="O152" s="30" t="str">
        <f aca="false">IF($A152&gt;$B$5,"",SUM(D$60:D152))</f>
        <v/>
      </c>
      <c r="P152" s="30" t="str">
        <f aca="false">IF($A152&gt;$B$5,"",SUM(K$60:K152))</f>
        <v/>
      </c>
    </row>
    <row r="153" customFormat="false" ht="15" hidden="false" customHeight="false" outlineLevel="0" collapsed="false">
      <c r="A153" s="27" t="n">
        <f aca="false">A152+1</f>
        <v>94</v>
      </c>
      <c r="B153" s="28" t="str">
        <f aca="false">IF($A153&gt;$B$5,"",$B$3+$B$4*($A153-1))</f>
        <v/>
      </c>
      <c r="C153" s="29" t="str">
        <f aca="false">IF($A153&gt;$B$5,"",B153*$B$6/1000000)</f>
        <v/>
      </c>
      <c r="D153" s="29" t="str">
        <f aca="false">IF($A153&gt;$B$5,"",(B152*$B$8+(B153-B152)*$B$7)*$B$6/1000000)</f>
        <v/>
      </c>
      <c r="E153" s="29" t="str">
        <f aca="false">IF($A153&gt;$B$5,"",IF(MOD($A153,$B$13)=0,B153*$B$7,B152*$B$8+(B153-B152)*$B$7)*$B$6/1000000)</f>
        <v/>
      </c>
      <c r="F153" s="29" t="str">
        <f aca="false">IF($A153&gt;$B$5,"",(B152*$B$9+(B153-B152)*$B$7)*$B$6/1000000)</f>
        <v/>
      </c>
      <c r="G153" s="29" t="str">
        <f aca="false">IF($A153&gt;$B$5,"",(($B$3-$B$14)*$B$8+(B153-($B$3-$B$14))*$B$7)*$B$6/1000000)</f>
        <v/>
      </c>
      <c r="H153" s="28" t="str">
        <f aca="false">IF($A153&gt;$B$5,"",IF(H152+$B$4&gt;$B$11,$B$12,H152+$B$4))</f>
        <v/>
      </c>
      <c r="I153" s="27" t="str">
        <f aca="false">IF($A153&gt;$B$5,"",IF(H152+$B$4&gt;$B$11,1,0))</f>
        <v/>
      </c>
      <c r="J153" s="29" t="str">
        <f aca="false">IF($A153&gt;$B$5,"",H153*$B$6/1000000)</f>
        <v/>
      </c>
      <c r="K153" s="29" t="str">
        <f aca="false">IF($A153&gt;$B$5,"",IF(I153=1,$B$3*$B$8+(H153-$B$3)*$B$7,H152*$B$8+(H153-H152)*$B$7)*$B$6/1000000)</f>
        <v/>
      </c>
      <c r="L153" s="29" t="str">
        <f aca="false">IF($A153&gt;$B$5,"",IF(I153=1,(H152*$B$8+$B$4*$B$7)*$B$6/1000000,0))</f>
        <v/>
      </c>
      <c r="M153" s="30" t="str">
        <f aca="false">IF($A153&gt;$B$5,"",SUM(C$60:C153))</f>
        <v/>
      </c>
      <c r="N153" s="30" t="str">
        <f aca="false">IF($A153&gt;$B$5,"",SUM(J$60:J153))</f>
        <v/>
      </c>
      <c r="O153" s="30" t="str">
        <f aca="false">IF($A153&gt;$B$5,"",SUM(D$60:D153))</f>
        <v/>
      </c>
      <c r="P153" s="30" t="str">
        <f aca="false">IF($A153&gt;$B$5,"",SUM(K$60:K153))</f>
        <v/>
      </c>
    </row>
    <row r="154" customFormat="false" ht="15" hidden="false" customHeight="false" outlineLevel="0" collapsed="false">
      <c r="A154" s="27" t="n">
        <f aca="false">A153+1</f>
        <v>95</v>
      </c>
      <c r="B154" s="28" t="str">
        <f aca="false">IF($A154&gt;$B$5,"",$B$3+$B$4*($A154-1))</f>
        <v/>
      </c>
      <c r="C154" s="29" t="str">
        <f aca="false">IF($A154&gt;$B$5,"",B154*$B$6/1000000)</f>
        <v/>
      </c>
      <c r="D154" s="29" t="str">
        <f aca="false">IF($A154&gt;$B$5,"",(B153*$B$8+(B154-B153)*$B$7)*$B$6/1000000)</f>
        <v/>
      </c>
      <c r="E154" s="29" t="str">
        <f aca="false">IF($A154&gt;$B$5,"",IF(MOD($A154,$B$13)=0,B154*$B$7,B153*$B$8+(B154-B153)*$B$7)*$B$6/1000000)</f>
        <v/>
      </c>
      <c r="F154" s="29" t="str">
        <f aca="false">IF($A154&gt;$B$5,"",(B153*$B$9+(B154-B153)*$B$7)*$B$6/1000000)</f>
        <v/>
      </c>
      <c r="G154" s="29" t="str">
        <f aca="false">IF($A154&gt;$B$5,"",(($B$3-$B$14)*$B$8+(B154-($B$3-$B$14))*$B$7)*$B$6/1000000)</f>
        <v/>
      </c>
      <c r="H154" s="28" t="str">
        <f aca="false">IF($A154&gt;$B$5,"",IF(H153+$B$4&gt;$B$11,$B$12,H153+$B$4))</f>
        <v/>
      </c>
      <c r="I154" s="27" t="str">
        <f aca="false">IF($A154&gt;$B$5,"",IF(H153+$B$4&gt;$B$11,1,0))</f>
        <v/>
      </c>
      <c r="J154" s="29" t="str">
        <f aca="false">IF($A154&gt;$B$5,"",H154*$B$6/1000000)</f>
        <v/>
      </c>
      <c r="K154" s="29" t="str">
        <f aca="false">IF($A154&gt;$B$5,"",IF(I154=1,$B$3*$B$8+(H154-$B$3)*$B$7,H153*$B$8+(H154-H153)*$B$7)*$B$6/1000000)</f>
        <v/>
      </c>
      <c r="L154" s="29" t="str">
        <f aca="false">IF($A154&gt;$B$5,"",IF(I154=1,(H153*$B$8+$B$4*$B$7)*$B$6/1000000,0))</f>
        <v/>
      </c>
      <c r="M154" s="30" t="str">
        <f aca="false">IF($A154&gt;$B$5,"",SUM(C$60:C154))</f>
        <v/>
      </c>
      <c r="N154" s="30" t="str">
        <f aca="false">IF($A154&gt;$B$5,"",SUM(J$60:J154))</f>
        <v/>
      </c>
      <c r="O154" s="30" t="str">
        <f aca="false">IF($A154&gt;$B$5,"",SUM(D$60:D154))</f>
        <v/>
      </c>
      <c r="P154" s="30" t="str">
        <f aca="false">IF($A154&gt;$B$5,"",SUM(K$60:K154))</f>
        <v/>
      </c>
    </row>
    <row r="155" customFormat="false" ht="15" hidden="false" customHeight="false" outlineLevel="0" collapsed="false">
      <c r="A155" s="27" t="n">
        <f aca="false">A154+1</f>
        <v>96</v>
      </c>
      <c r="B155" s="28" t="str">
        <f aca="false">IF($A155&gt;$B$5,"",$B$3+$B$4*($A155-1))</f>
        <v/>
      </c>
      <c r="C155" s="29" t="str">
        <f aca="false">IF($A155&gt;$B$5,"",B155*$B$6/1000000)</f>
        <v/>
      </c>
      <c r="D155" s="29" t="str">
        <f aca="false">IF($A155&gt;$B$5,"",(B154*$B$8+(B155-B154)*$B$7)*$B$6/1000000)</f>
        <v/>
      </c>
      <c r="E155" s="29" t="str">
        <f aca="false">IF($A155&gt;$B$5,"",IF(MOD($A155,$B$13)=0,B155*$B$7,B154*$B$8+(B155-B154)*$B$7)*$B$6/1000000)</f>
        <v/>
      </c>
      <c r="F155" s="29" t="str">
        <f aca="false">IF($A155&gt;$B$5,"",(B154*$B$9+(B155-B154)*$B$7)*$B$6/1000000)</f>
        <v/>
      </c>
      <c r="G155" s="29" t="str">
        <f aca="false">IF($A155&gt;$B$5,"",(($B$3-$B$14)*$B$8+(B155-($B$3-$B$14))*$B$7)*$B$6/1000000)</f>
        <v/>
      </c>
      <c r="H155" s="28" t="str">
        <f aca="false">IF($A155&gt;$B$5,"",IF(H154+$B$4&gt;$B$11,$B$12,H154+$B$4))</f>
        <v/>
      </c>
      <c r="I155" s="27" t="str">
        <f aca="false">IF($A155&gt;$B$5,"",IF(H154+$B$4&gt;$B$11,1,0))</f>
        <v/>
      </c>
      <c r="J155" s="29" t="str">
        <f aca="false">IF($A155&gt;$B$5,"",H155*$B$6/1000000)</f>
        <v/>
      </c>
      <c r="K155" s="29" t="str">
        <f aca="false">IF($A155&gt;$B$5,"",IF(I155=1,$B$3*$B$8+(H155-$B$3)*$B$7,H154*$B$8+(H155-H154)*$B$7)*$B$6/1000000)</f>
        <v/>
      </c>
      <c r="L155" s="29" t="str">
        <f aca="false">IF($A155&gt;$B$5,"",IF(I155=1,(H154*$B$8+$B$4*$B$7)*$B$6/1000000,0))</f>
        <v/>
      </c>
      <c r="M155" s="30" t="str">
        <f aca="false">IF($A155&gt;$B$5,"",SUM(C$60:C155))</f>
        <v/>
      </c>
      <c r="N155" s="30" t="str">
        <f aca="false">IF($A155&gt;$B$5,"",SUM(J$60:J155))</f>
        <v/>
      </c>
      <c r="O155" s="30" t="str">
        <f aca="false">IF($A155&gt;$B$5,"",SUM(D$60:D155))</f>
        <v/>
      </c>
      <c r="P155" s="30" t="str">
        <f aca="false">IF($A155&gt;$B$5,"",SUM(K$60:K155))</f>
        <v/>
      </c>
    </row>
    <row r="156" customFormat="false" ht="15" hidden="false" customHeight="false" outlineLevel="0" collapsed="false">
      <c r="A156" s="27" t="n">
        <f aca="false">A155+1</f>
        <v>97</v>
      </c>
      <c r="B156" s="28" t="str">
        <f aca="false">IF($A156&gt;$B$5,"",$B$3+$B$4*($A156-1))</f>
        <v/>
      </c>
      <c r="C156" s="29" t="str">
        <f aca="false">IF($A156&gt;$B$5,"",B156*$B$6/1000000)</f>
        <v/>
      </c>
      <c r="D156" s="29" t="str">
        <f aca="false">IF($A156&gt;$B$5,"",(B155*$B$8+(B156-B155)*$B$7)*$B$6/1000000)</f>
        <v/>
      </c>
      <c r="E156" s="29" t="str">
        <f aca="false">IF($A156&gt;$B$5,"",IF(MOD($A156,$B$13)=0,B156*$B$7,B155*$B$8+(B156-B155)*$B$7)*$B$6/1000000)</f>
        <v/>
      </c>
      <c r="F156" s="29" t="str">
        <f aca="false">IF($A156&gt;$B$5,"",(B155*$B$9+(B156-B155)*$B$7)*$B$6/1000000)</f>
        <v/>
      </c>
      <c r="G156" s="29" t="str">
        <f aca="false">IF($A156&gt;$B$5,"",(($B$3-$B$14)*$B$8+(B156-($B$3-$B$14))*$B$7)*$B$6/1000000)</f>
        <v/>
      </c>
      <c r="H156" s="28" t="str">
        <f aca="false">IF($A156&gt;$B$5,"",IF(H155+$B$4&gt;$B$11,$B$12,H155+$B$4))</f>
        <v/>
      </c>
      <c r="I156" s="27" t="str">
        <f aca="false">IF($A156&gt;$B$5,"",IF(H155+$B$4&gt;$B$11,1,0))</f>
        <v/>
      </c>
      <c r="J156" s="29" t="str">
        <f aca="false">IF($A156&gt;$B$5,"",H156*$B$6/1000000)</f>
        <v/>
      </c>
      <c r="K156" s="29" t="str">
        <f aca="false">IF($A156&gt;$B$5,"",IF(I156=1,$B$3*$B$8+(H156-$B$3)*$B$7,H155*$B$8+(H156-H155)*$B$7)*$B$6/1000000)</f>
        <v/>
      </c>
      <c r="L156" s="29" t="str">
        <f aca="false">IF($A156&gt;$B$5,"",IF(I156=1,(H155*$B$8+$B$4*$B$7)*$B$6/1000000,0))</f>
        <v/>
      </c>
      <c r="M156" s="30" t="str">
        <f aca="false">IF($A156&gt;$B$5,"",SUM(C$60:C156))</f>
        <v/>
      </c>
      <c r="N156" s="30" t="str">
        <f aca="false">IF($A156&gt;$B$5,"",SUM(J$60:J156))</f>
        <v/>
      </c>
      <c r="O156" s="30" t="str">
        <f aca="false">IF($A156&gt;$B$5,"",SUM(D$60:D156))</f>
        <v/>
      </c>
      <c r="P156" s="30" t="str">
        <f aca="false">IF($A156&gt;$B$5,"",SUM(K$60:K156))</f>
        <v/>
      </c>
    </row>
    <row r="157" customFormat="false" ht="15" hidden="false" customHeight="false" outlineLevel="0" collapsed="false">
      <c r="A157" s="27" t="n">
        <f aca="false">A156+1</f>
        <v>98</v>
      </c>
      <c r="B157" s="28" t="str">
        <f aca="false">IF($A157&gt;$B$5,"",$B$3+$B$4*($A157-1))</f>
        <v/>
      </c>
      <c r="C157" s="29" t="str">
        <f aca="false">IF($A157&gt;$B$5,"",B157*$B$6/1000000)</f>
        <v/>
      </c>
      <c r="D157" s="29" t="str">
        <f aca="false">IF($A157&gt;$B$5,"",(B156*$B$8+(B157-B156)*$B$7)*$B$6/1000000)</f>
        <v/>
      </c>
      <c r="E157" s="29" t="str">
        <f aca="false">IF($A157&gt;$B$5,"",IF(MOD($A157,$B$13)=0,B157*$B$7,B156*$B$8+(B157-B156)*$B$7)*$B$6/1000000)</f>
        <v/>
      </c>
      <c r="F157" s="29" t="str">
        <f aca="false">IF($A157&gt;$B$5,"",(B156*$B$9+(B157-B156)*$B$7)*$B$6/1000000)</f>
        <v/>
      </c>
      <c r="G157" s="29" t="str">
        <f aca="false">IF($A157&gt;$B$5,"",(($B$3-$B$14)*$B$8+(B157-($B$3-$B$14))*$B$7)*$B$6/1000000)</f>
        <v/>
      </c>
      <c r="H157" s="28" t="str">
        <f aca="false">IF($A157&gt;$B$5,"",IF(H156+$B$4&gt;$B$11,$B$12,H156+$B$4))</f>
        <v/>
      </c>
      <c r="I157" s="27" t="str">
        <f aca="false">IF($A157&gt;$B$5,"",IF(H156+$B$4&gt;$B$11,1,0))</f>
        <v/>
      </c>
      <c r="J157" s="29" t="str">
        <f aca="false">IF($A157&gt;$B$5,"",H157*$B$6/1000000)</f>
        <v/>
      </c>
      <c r="K157" s="29" t="str">
        <f aca="false">IF($A157&gt;$B$5,"",IF(I157=1,$B$3*$B$8+(H157-$B$3)*$B$7,H156*$B$8+(H157-H156)*$B$7)*$B$6/1000000)</f>
        <v/>
      </c>
      <c r="L157" s="29" t="str">
        <f aca="false">IF($A157&gt;$B$5,"",IF(I157=1,(H156*$B$8+$B$4*$B$7)*$B$6/1000000,0))</f>
        <v/>
      </c>
      <c r="M157" s="30" t="str">
        <f aca="false">IF($A157&gt;$B$5,"",SUM(C$60:C157))</f>
        <v/>
      </c>
      <c r="N157" s="30" t="str">
        <f aca="false">IF($A157&gt;$B$5,"",SUM(J$60:J157))</f>
        <v/>
      </c>
      <c r="O157" s="30" t="str">
        <f aca="false">IF($A157&gt;$B$5,"",SUM(D$60:D157))</f>
        <v/>
      </c>
      <c r="P157" s="30" t="str">
        <f aca="false">IF($A157&gt;$B$5,"",SUM(K$60:K157))</f>
        <v/>
      </c>
    </row>
    <row r="158" customFormat="false" ht="15" hidden="false" customHeight="false" outlineLevel="0" collapsed="false">
      <c r="A158" s="27" t="n">
        <f aca="false">A157+1</f>
        <v>99</v>
      </c>
      <c r="B158" s="28" t="str">
        <f aca="false">IF($A158&gt;$B$5,"",$B$3+$B$4*($A158-1))</f>
        <v/>
      </c>
      <c r="C158" s="29" t="str">
        <f aca="false">IF($A158&gt;$B$5,"",B158*$B$6/1000000)</f>
        <v/>
      </c>
      <c r="D158" s="29" t="str">
        <f aca="false">IF($A158&gt;$B$5,"",(B157*$B$8+(B158-B157)*$B$7)*$B$6/1000000)</f>
        <v/>
      </c>
      <c r="E158" s="29" t="str">
        <f aca="false">IF($A158&gt;$B$5,"",IF(MOD($A158,$B$13)=0,B158*$B$7,B157*$B$8+(B158-B157)*$B$7)*$B$6/1000000)</f>
        <v/>
      </c>
      <c r="F158" s="29" t="str">
        <f aca="false">IF($A158&gt;$B$5,"",(B157*$B$9+(B158-B157)*$B$7)*$B$6/1000000)</f>
        <v/>
      </c>
      <c r="G158" s="29" t="str">
        <f aca="false">IF($A158&gt;$B$5,"",(($B$3-$B$14)*$B$8+(B158-($B$3-$B$14))*$B$7)*$B$6/1000000)</f>
        <v/>
      </c>
      <c r="H158" s="28" t="str">
        <f aca="false">IF($A158&gt;$B$5,"",IF(H157+$B$4&gt;$B$11,$B$12,H157+$B$4))</f>
        <v/>
      </c>
      <c r="I158" s="27" t="str">
        <f aca="false">IF($A158&gt;$B$5,"",IF(H157+$B$4&gt;$B$11,1,0))</f>
        <v/>
      </c>
      <c r="J158" s="29" t="str">
        <f aca="false">IF($A158&gt;$B$5,"",H158*$B$6/1000000)</f>
        <v/>
      </c>
      <c r="K158" s="29" t="str">
        <f aca="false">IF($A158&gt;$B$5,"",IF(I158=1,$B$3*$B$8+(H158-$B$3)*$B$7,H157*$B$8+(H158-H157)*$B$7)*$B$6/1000000)</f>
        <v/>
      </c>
      <c r="L158" s="29" t="str">
        <f aca="false">IF($A158&gt;$B$5,"",IF(I158=1,(H157*$B$8+$B$4*$B$7)*$B$6/1000000,0))</f>
        <v/>
      </c>
      <c r="M158" s="30" t="str">
        <f aca="false">IF($A158&gt;$B$5,"",SUM(C$60:C158))</f>
        <v/>
      </c>
      <c r="N158" s="30" t="str">
        <f aca="false">IF($A158&gt;$B$5,"",SUM(J$60:J158))</f>
        <v/>
      </c>
      <c r="O158" s="30" t="str">
        <f aca="false">IF($A158&gt;$B$5,"",SUM(D$60:D158))</f>
        <v/>
      </c>
      <c r="P158" s="30" t="str">
        <f aca="false">IF($A158&gt;$B$5,"",SUM(K$60:K158))</f>
        <v/>
      </c>
    </row>
    <row r="159" customFormat="false" ht="15" hidden="false" customHeight="false" outlineLevel="0" collapsed="false">
      <c r="A159" s="27" t="n">
        <f aca="false">A158+1</f>
        <v>100</v>
      </c>
      <c r="B159" s="28" t="str">
        <f aca="false">IF($A159&gt;$B$5,"",$B$3+$B$4*($A159-1))</f>
        <v/>
      </c>
      <c r="C159" s="29" t="str">
        <f aca="false">IF($A159&gt;$B$5,"",B159*$B$6/1000000)</f>
        <v/>
      </c>
      <c r="D159" s="29" t="str">
        <f aca="false">IF($A159&gt;$B$5,"",(B158*$B$8+(B159-B158)*$B$7)*$B$6/1000000)</f>
        <v/>
      </c>
      <c r="E159" s="29" t="str">
        <f aca="false">IF($A159&gt;$B$5,"",IF(MOD($A159,$B$13)=0,B159*$B$7,B158*$B$8+(B159-B158)*$B$7)*$B$6/1000000)</f>
        <v/>
      </c>
      <c r="F159" s="29" t="str">
        <f aca="false">IF($A159&gt;$B$5,"",(B158*$B$9+(B159-B158)*$B$7)*$B$6/1000000)</f>
        <v/>
      </c>
      <c r="G159" s="29" t="str">
        <f aca="false">IF($A159&gt;$B$5,"",(($B$3-$B$14)*$B$8+(B159-($B$3-$B$14))*$B$7)*$B$6/1000000)</f>
        <v/>
      </c>
      <c r="H159" s="28" t="str">
        <f aca="false">IF($A159&gt;$B$5,"",IF(H158+$B$4&gt;$B$11,$B$12,H158+$B$4))</f>
        <v/>
      </c>
      <c r="I159" s="27" t="str">
        <f aca="false">IF($A159&gt;$B$5,"",IF(H158+$B$4&gt;$B$11,1,0))</f>
        <v/>
      </c>
      <c r="J159" s="29" t="str">
        <f aca="false">IF($A159&gt;$B$5,"",H159*$B$6/1000000)</f>
        <v/>
      </c>
      <c r="K159" s="29" t="str">
        <f aca="false">IF($A159&gt;$B$5,"",IF(I159=1,$B$3*$B$8+(H159-$B$3)*$B$7,H158*$B$8+(H159-H158)*$B$7)*$B$6/1000000)</f>
        <v/>
      </c>
      <c r="L159" s="29" t="str">
        <f aca="false">IF($A159&gt;$B$5,"",IF(I159=1,(H158*$B$8+$B$4*$B$7)*$B$6/1000000,0))</f>
        <v/>
      </c>
      <c r="M159" s="30" t="str">
        <f aca="false">IF($A159&gt;$B$5,"",SUM(C$60:C159))</f>
        <v/>
      </c>
      <c r="N159" s="30" t="str">
        <f aca="false">IF($A159&gt;$B$5,"",SUM(J$60:J159))</f>
        <v/>
      </c>
      <c r="O159" s="30" t="str">
        <f aca="false">IF($A159&gt;$B$5,"",SUM(D$60:D159))</f>
        <v/>
      </c>
      <c r="P159" s="30" t="str">
        <f aca="false">IF($A159&gt;$B$5,"",SUM(K$60:K159))</f>
        <v/>
      </c>
    </row>
    <row r="160" customFormat="false" ht="15" hidden="false" customHeight="false" outlineLevel="0" collapsed="false">
      <c r="A160" s="27" t="n">
        <f aca="false">A159+1</f>
        <v>101</v>
      </c>
      <c r="B160" s="28" t="str">
        <f aca="false">IF($A160&gt;$B$5,"",$B$3+$B$4*($A160-1))</f>
        <v/>
      </c>
      <c r="C160" s="29" t="str">
        <f aca="false">IF($A160&gt;$B$5,"",B160*$B$6/1000000)</f>
        <v/>
      </c>
      <c r="D160" s="29" t="str">
        <f aca="false">IF($A160&gt;$B$5,"",(B159*$B$8+(B160-B159)*$B$7)*$B$6/1000000)</f>
        <v/>
      </c>
      <c r="E160" s="29" t="str">
        <f aca="false">IF($A160&gt;$B$5,"",IF(MOD($A160,$B$13)=0,B160*$B$7,B159*$B$8+(B160-B159)*$B$7)*$B$6/1000000)</f>
        <v/>
      </c>
      <c r="F160" s="29" t="str">
        <f aca="false">IF($A160&gt;$B$5,"",(B159*$B$9+(B160-B159)*$B$7)*$B$6/1000000)</f>
        <v/>
      </c>
      <c r="G160" s="29" t="str">
        <f aca="false">IF($A160&gt;$B$5,"",(($B$3-$B$14)*$B$8+(B160-($B$3-$B$14))*$B$7)*$B$6/1000000)</f>
        <v/>
      </c>
      <c r="H160" s="28" t="str">
        <f aca="false">IF($A160&gt;$B$5,"",IF(H159+$B$4&gt;$B$11,$B$12,H159+$B$4))</f>
        <v/>
      </c>
      <c r="I160" s="27" t="str">
        <f aca="false">IF($A160&gt;$B$5,"",IF(H159+$B$4&gt;$B$11,1,0))</f>
        <v/>
      </c>
      <c r="J160" s="29" t="str">
        <f aca="false">IF($A160&gt;$B$5,"",H160*$B$6/1000000)</f>
        <v/>
      </c>
      <c r="K160" s="29" t="str">
        <f aca="false">IF($A160&gt;$B$5,"",IF(I160=1,$B$3*$B$8+(H160-$B$3)*$B$7,H159*$B$8+(H160-H159)*$B$7)*$B$6/1000000)</f>
        <v/>
      </c>
      <c r="L160" s="29" t="str">
        <f aca="false">IF($A160&gt;$B$5,"",IF(I160=1,(H159*$B$8+$B$4*$B$7)*$B$6/1000000,0))</f>
        <v/>
      </c>
      <c r="M160" s="30" t="str">
        <f aca="false">IF($A160&gt;$B$5,"",SUM(C$60:C160))</f>
        <v/>
      </c>
      <c r="N160" s="30" t="str">
        <f aca="false">IF($A160&gt;$B$5,"",SUM(J$60:J160))</f>
        <v/>
      </c>
      <c r="O160" s="30" t="str">
        <f aca="false">IF($A160&gt;$B$5,"",SUM(D$60:D160))</f>
        <v/>
      </c>
      <c r="P160" s="30" t="str">
        <f aca="false">IF($A160&gt;$B$5,"",SUM(K$60:K160))</f>
        <v/>
      </c>
    </row>
    <row r="161" customFormat="false" ht="15" hidden="false" customHeight="false" outlineLevel="0" collapsed="false">
      <c r="A161" s="27" t="n">
        <f aca="false">A160+1</f>
        <v>102</v>
      </c>
      <c r="B161" s="28" t="str">
        <f aca="false">IF($A161&gt;$B$5,"",$B$3+$B$4*($A161-1))</f>
        <v/>
      </c>
      <c r="C161" s="29" t="str">
        <f aca="false">IF($A161&gt;$B$5,"",B161*$B$6/1000000)</f>
        <v/>
      </c>
      <c r="D161" s="29" t="str">
        <f aca="false">IF($A161&gt;$B$5,"",(B160*$B$8+(B161-B160)*$B$7)*$B$6/1000000)</f>
        <v/>
      </c>
      <c r="E161" s="29" t="str">
        <f aca="false">IF($A161&gt;$B$5,"",IF(MOD($A161,$B$13)=0,B161*$B$7,B160*$B$8+(B161-B160)*$B$7)*$B$6/1000000)</f>
        <v/>
      </c>
      <c r="F161" s="29" t="str">
        <f aca="false">IF($A161&gt;$B$5,"",(B160*$B$9+(B161-B160)*$B$7)*$B$6/1000000)</f>
        <v/>
      </c>
      <c r="G161" s="29" t="str">
        <f aca="false">IF($A161&gt;$B$5,"",(($B$3-$B$14)*$B$8+(B161-($B$3-$B$14))*$B$7)*$B$6/1000000)</f>
        <v/>
      </c>
      <c r="H161" s="28" t="str">
        <f aca="false">IF($A161&gt;$B$5,"",IF(H160+$B$4&gt;$B$11,$B$12,H160+$B$4))</f>
        <v/>
      </c>
      <c r="I161" s="27" t="str">
        <f aca="false">IF($A161&gt;$B$5,"",IF(H160+$B$4&gt;$B$11,1,0))</f>
        <v/>
      </c>
      <c r="J161" s="29" t="str">
        <f aca="false">IF($A161&gt;$B$5,"",H161*$B$6/1000000)</f>
        <v/>
      </c>
      <c r="K161" s="29" t="str">
        <f aca="false">IF($A161&gt;$B$5,"",IF(I161=1,$B$3*$B$8+(H161-$B$3)*$B$7,H160*$B$8+(H161-H160)*$B$7)*$B$6/1000000)</f>
        <v/>
      </c>
      <c r="L161" s="29" t="str">
        <f aca="false">IF($A161&gt;$B$5,"",IF(I161=1,(H160*$B$8+$B$4*$B$7)*$B$6/1000000,0))</f>
        <v/>
      </c>
      <c r="M161" s="30" t="str">
        <f aca="false">IF($A161&gt;$B$5,"",SUM(C$60:C161))</f>
        <v/>
      </c>
      <c r="N161" s="30" t="str">
        <f aca="false">IF($A161&gt;$B$5,"",SUM(J$60:J161))</f>
        <v/>
      </c>
      <c r="O161" s="30" t="str">
        <f aca="false">IF($A161&gt;$B$5,"",SUM(D$60:D161))</f>
        <v/>
      </c>
      <c r="P161" s="30" t="str">
        <f aca="false">IF($A161&gt;$B$5,"",SUM(K$60:K161))</f>
        <v/>
      </c>
    </row>
    <row r="162" customFormat="false" ht="15" hidden="false" customHeight="false" outlineLevel="0" collapsed="false">
      <c r="A162" s="27" t="n">
        <f aca="false">A161+1</f>
        <v>103</v>
      </c>
      <c r="B162" s="28" t="str">
        <f aca="false">IF($A162&gt;$B$5,"",$B$3+$B$4*($A162-1))</f>
        <v/>
      </c>
      <c r="C162" s="29" t="str">
        <f aca="false">IF($A162&gt;$B$5,"",B162*$B$6/1000000)</f>
        <v/>
      </c>
      <c r="D162" s="29" t="str">
        <f aca="false">IF($A162&gt;$B$5,"",(B161*$B$8+(B162-B161)*$B$7)*$B$6/1000000)</f>
        <v/>
      </c>
      <c r="E162" s="29" t="str">
        <f aca="false">IF($A162&gt;$B$5,"",IF(MOD($A162,$B$13)=0,B162*$B$7,B161*$B$8+(B162-B161)*$B$7)*$B$6/1000000)</f>
        <v/>
      </c>
      <c r="F162" s="29" t="str">
        <f aca="false">IF($A162&gt;$B$5,"",(B161*$B$9+(B162-B161)*$B$7)*$B$6/1000000)</f>
        <v/>
      </c>
      <c r="G162" s="29" t="str">
        <f aca="false">IF($A162&gt;$B$5,"",(($B$3-$B$14)*$B$8+(B162-($B$3-$B$14))*$B$7)*$B$6/1000000)</f>
        <v/>
      </c>
      <c r="H162" s="28" t="str">
        <f aca="false">IF($A162&gt;$B$5,"",IF(H161+$B$4&gt;$B$11,$B$12,H161+$B$4))</f>
        <v/>
      </c>
      <c r="I162" s="27" t="str">
        <f aca="false">IF($A162&gt;$B$5,"",IF(H161+$B$4&gt;$B$11,1,0))</f>
        <v/>
      </c>
      <c r="J162" s="29" t="str">
        <f aca="false">IF($A162&gt;$B$5,"",H162*$B$6/1000000)</f>
        <v/>
      </c>
      <c r="K162" s="29" t="str">
        <f aca="false">IF($A162&gt;$B$5,"",IF(I162=1,$B$3*$B$8+(H162-$B$3)*$B$7,H161*$B$8+(H162-H161)*$B$7)*$B$6/1000000)</f>
        <v/>
      </c>
      <c r="L162" s="29" t="str">
        <f aca="false">IF($A162&gt;$B$5,"",IF(I162=1,(H161*$B$8+$B$4*$B$7)*$B$6/1000000,0))</f>
        <v/>
      </c>
      <c r="M162" s="30" t="str">
        <f aca="false">IF($A162&gt;$B$5,"",SUM(C$60:C162))</f>
        <v/>
      </c>
      <c r="N162" s="30" t="str">
        <f aca="false">IF($A162&gt;$B$5,"",SUM(J$60:J162))</f>
        <v/>
      </c>
      <c r="O162" s="30" t="str">
        <f aca="false">IF($A162&gt;$B$5,"",SUM(D$60:D162))</f>
        <v/>
      </c>
      <c r="P162" s="30" t="str">
        <f aca="false">IF($A162&gt;$B$5,"",SUM(K$60:K162))</f>
        <v/>
      </c>
    </row>
    <row r="163" customFormat="false" ht="15" hidden="false" customHeight="false" outlineLevel="0" collapsed="false">
      <c r="A163" s="27" t="n">
        <f aca="false">A162+1</f>
        <v>104</v>
      </c>
      <c r="B163" s="28" t="str">
        <f aca="false">IF($A163&gt;$B$5,"",$B$3+$B$4*($A163-1))</f>
        <v/>
      </c>
      <c r="C163" s="29" t="str">
        <f aca="false">IF($A163&gt;$B$5,"",B163*$B$6/1000000)</f>
        <v/>
      </c>
      <c r="D163" s="29" t="str">
        <f aca="false">IF($A163&gt;$B$5,"",(B162*$B$8+(B163-B162)*$B$7)*$B$6/1000000)</f>
        <v/>
      </c>
      <c r="E163" s="29" t="str">
        <f aca="false">IF($A163&gt;$B$5,"",IF(MOD($A163,$B$13)=0,B163*$B$7,B162*$B$8+(B163-B162)*$B$7)*$B$6/1000000)</f>
        <v/>
      </c>
      <c r="F163" s="29" t="str">
        <f aca="false">IF($A163&gt;$B$5,"",(B162*$B$9+(B163-B162)*$B$7)*$B$6/1000000)</f>
        <v/>
      </c>
      <c r="G163" s="29" t="str">
        <f aca="false">IF($A163&gt;$B$5,"",(($B$3-$B$14)*$B$8+(B163-($B$3-$B$14))*$B$7)*$B$6/1000000)</f>
        <v/>
      </c>
      <c r="H163" s="28" t="str">
        <f aca="false">IF($A163&gt;$B$5,"",IF(H162+$B$4&gt;$B$11,$B$12,H162+$B$4))</f>
        <v/>
      </c>
      <c r="I163" s="27" t="str">
        <f aca="false">IF($A163&gt;$B$5,"",IF(H162+$B$4&gt;$B$11,1,0))</f>
        <v/>
      </c>
      <c r="J163" s="29" t="str">
        <f aca="false">IF($A163&gt;$B$5,"",H163*$B$6/1000000)</f>
        <v/>
      </c>
      <c r="K163" s="29" t="str">
        <f aca="false">IF($A163&gt;$B$5,"",IF(I163=1,$B$3*$B$8+(H163-$B$3)*$B$7,H162*$B$8+(H163-H162)*$B$7)*$B$6/1000000)</f>
        <v/>
      </c>
      <c r="L163" s="29" t="str">
        <f aca="false">IF($A163&gt;$B$5,"",IF(I163=1,(H162*$B$8+$B$4*$B$7)*$B$6/1000000,0))</f>
        <v/>
      </c>
      <c r="M163" s="30" t="str">
        <f aca="false">IF($A163&gt;$B$5,"",SUM(C$60:C163))</f>
        <v/>
      </c>
      <c r="N163" s="30" t="str">
        <f aca="false">IF($A163&gt;$B$5,"",SUM(J$60:J163))</f>
        <v/>
      </c>
      <c r="O163" s="30" t="str">
        <f aca="false">IF($A163&gt;$B$5,"",SUM(D$60:D163))</f>
        <v/>
      </c>
      <c r="P163" s="30" t="str">
        <f aca="false">IF($A163&gt;$B$5,"",SUM(K$60:K163))</f>
        <v/>
      </c>
    </row>
    <row r="164" customFormat="false" ht="15" hidden="false" customHeight="false" outlineLevel="0" collapsed="false">
      <c r="A164" s="27" t="n">
        <f aca="false">A163+1</f>
        <v>105</v>
      </c>
      <c r="B164" s="28" t="str">
        <f aca="false">IF($A164&gt;$B$5,"",$B$3+$B$4*($A164-1))</f>
        <v/>
      </c>
      <c r="C164" s="29" t="str">
        <f aca="false">IF($A164&gt;$B$5,"",B164*$B$6/1000000)</f>
        <v/>
      </c>
      <c r="D164" s="29" t="str">
        <f aca="false">IF($A164&gt;$B$5,"",(B163*$B$8+(B164-B163)*$B$7)*$B$6/1000000)</f>
        <v/>
      </c>
      <c r="E164" s="29" t="str">
        <f aca="false">IF($A164&gt;$B$5,"",IF(MOD($A164,$B$13)=0,B164*$B$7,B163*$B$8+(B164-B163)*$B$7)*$B$6/1000000)</f>
        <v/>
      </c>
      <c r="F164" s="29" t="str">
        <f aca="false">IF($A164&gt;$B$5,"",(B163*$B$9+(B164-B163)*$B$7)*$B$6/1000000)</f>
        <v/>
      </c>
      <c r="G164" s="29" t="str">
        <f aca="false">IF($A164&gt;$B$5,"",(($B$3-$B$14)*$B$8+(B164-($B$3-$B$14))*$B$7)*$B$6/1000000)</f>
        <v/>
      </c>
      <c r="H164" s="28" t="str">
        <f aca="false">IF($A164&gt;$B$5,"",IF(H163+$B$4&gt;$B$11,$B$12,H163+$B$4))</f>
        <v/>
      </c>
      <c r="I164" s="27" t="str">
        <f aca="false">IF($A164&gt;$B$5,"",IF(H163+$B$4&gt;$B$11,1,0))</f>
        <v/>
      </c>
      <c r="J164" s="29" t="str">
        <f aca="false">IF($A164&gt;$B$5,"",H164*$B$6/1000000)</f>
        <v/>
      </c>
      <c r="K164" s="29" t="str">
        <f aca="false">IF($A164&gt;$B$5,"",IF(I164=1,$B$3*$B$8+(H164-$B$3)*$B$7,H163*$B$8+(H164-H163)*$B$7)*$B$6/1000000)</f>
        <v/>
      </c>
      <c r="L164" s="29" t="str">
        <f aca="false">IF($A164&gt;$B$5,"",IF(I164=1,(H163*$B$8+$B$4*$B$7)*$B$6/1000000,0))</f>
        <v/>
      </c>
      <c r="M164" s="30" t="str">
        <f aca="false">IF($A164&gt;$B$5,"",SUM(C$60:C164))</f>
        <v/>
      </c>
      <c r="N164" s="30" t="str">
        <f aca="false">IF($A164&gt;$B$5,"",SUM(J$60:J164))</f>
        <v/>
      </c>
      <c r="O164" s="30" t="str">
        <f aca="false">IF($A164&gt;$B$5,"",SUM(D$60:D164))</f>
        <v/>
      </c>
      <c r="P164" s="30" t="str">
        <f aca="false">IF($A164&gt;$B$5,"",SUM(K$60:K164))</f>
        <v/>
      </c>
    </row>
    <row r="165" customFormat="false" ht="15" hidden="false" customHeight="false" outlineLevel="0" collapsed="false">
      <c r="A165" s="27" t="n">
        <f aca="false">A164+1</f>
        <v>106</v>
      </c>
      <c r="B165" s="28" t="str">
        <f aca="false">IF($A165&gt;$B$5,"",$B$3+$B$4*($A165-1))</f>
        <v/>
      </c>
      <c r="C165" s="29" t="str">
        <f aca="false">IF($A165&gt;$B$5,"",B165*$B$6/1000000)</f>
        <v/>
      </c>
      <c r="D165" s="29" t="str">
        <f aca="false">IF($A165&gt;$B$5,"",(B164*$B$8+(B165-B164)*$B$7)*$B$6/1000000)</f>
        <v/>
      </c>
      <c r="E165" s="29" t="str">
        <f aca="false">IF($A165&gt;$B$5,"",IF(MOD($A165,$B$13)=0,B165*$B$7,B164*$B$8+(B165-B164)*$B$7)*$B$6/1000000)</f>
        <v/>
      </c>
      <c r="F165" s="29" t="str">
        <f aca="false">IF($A165&gt;$B$5,"",(B164*$B$9+(B165-B164)*$B$7)*$B$6/1000000)</f>
        <v/>
      </c>
      <c r="G165" s="29" t="str">
        <f aca="false">IF($A165&gt;$B$5,"",(($B$3-$B$14)*$B$8+(B165-($B$3-$B$14))*$B$7)*$B$6/1000000)</f>
        <v/>
      </c>
      <c r="H165" s="28" t="str">
        <f aca="false">IF($A165&gt;$B$5,"",IF(H164+$B$4&gt;$B$11,$B$12,H164+$B$4))</f>
        <v/>
      </c>
      <c r="I165" s="27" t="str">
        <f aca="false">IF($A165&gt;$B$5,"",IF(H164+$B$4&gt;$B$11,1,0))</f>
        <v/>
      </c>
      <c r="J165" s="29" t="str">
        <f aca="false">IF($A165&gt;$B$5,"",H165*$B$6/1000000)</f>
        <v/>
      </c>
      <c r="K165" s="29" t="str">
        <f aca="false">IF($A165&gt;$B$5,"",IF(I165=1,$B$3*$B$8+(H165-$B$3)*$B$7,H164*$B$8+(H165-H164)*$B$7)*$B$6/1000000)</f>
        <v/>
      </c>
      <c r="L165" s="29" t="str">
        <f aca="false">IF($A165&gt;$B$5,"",IF(I165=1,(H164*$B$8+$B$4*$B$7)*$B$6/1000000,0))</f>
        <v/>
      </c>
      <c r="M165" s="30" t="str">
        <f aca="false">IF($A165&gt;$B$5,"",SUM(C$60:C165))</f>
        <v/>
      </c>
      <c r="N165" s="30" t="str">
        <f aca="false">IF($A165&gt;$B$5,"",SUM(J$60:J165))</f>
        <v/>
      </c>
      <c r="O165" s="30" t="str">
        <f aca="false">IF($A165&gt;$B$5,"",SUM(D$60:D165))</f>
        <v/>
      </c>
      <c r="P165" s="30" t="str">
        <f aca="false">IF($A165&gt;$B$5,"",SUM(K$60:K165))</f>
        <v/>
      </c>
    </row>
    <row r="166" customFormat="false" ht="15" hidden="false" customHeight="false" outlineLevel="0" collapsed="false">
      <c r="A166" s="27" t="n">
        <f aca="false">A165+1</f>
        <v>107</v>
      </c>
      <c r="B166" s="28" t="str">
        <f aca="false">IF($A166&gt;$B$5,"",$B$3+$B$4*($A166-1))</f>
        <v/>
      </c>
      <c r="C166" s="29" t="str">
        <f aca="false">IF($A166&gt;$B$5,"",B166*$B$6/1000000)</f>
        <v/>
      </c>
      <c r="D166" s="29" t="str">
        <f aca="false">IF($A166&gt;$B$5,"",(B165*$B$8+(B166-B165)*$B$7)*$B$6/1000000)</f>
        <v/>
      </c>
      <c r="E166" s="29" t="str">
        <f aca="false">IF($A166&gt;$B$5,"",IF(MOD($A166,$B$13)=0,B166*$B$7,B165*$B$8+(B166-B165)*$B$7)*$B$6/1000000)</f>
        <v/>
      </c>
      <c r="F166" s="29" t="str">
        <f aca="false">IF($A166&gt;$B$5,"",(B165*$B$9+(B166-B165)*$B$7)*$B$6/1000000)</f>
        <v/>
      </c>
      <c r="G166" s="29" t="str">
        <f aca="false">IF($A166&gt;$B$5,"",(($B$3-$B$14)*$B$8+(B166-($B$3-$B$14))*$B$7)*$B$6/1000000)</f>
        <v/>
      </c>
      <c r="H166" s="28" t="str">
        <f aca="false">IF($A166&gt;$B$5,"",IF(H165+$B$4&gt;$B$11,$B$12,H165+$B$4))</f>
        <v/>
      </c>
      <c r="I166" s="27" t="str">
        <f aca="false">IF($A166&gt;$B$5,"",IF(H165+$B$4&gt;$B$11,1,0))</f>
        <v/>
      </c>
      <c r="J166" s="29" t="str">
        <f aca="false">IF($A166&gt;$B$5,"",H166*$B$6/1000000)</f>
        <v/>
      </c>
      <c r="K166" s="29" t="str">
        <f aca="false">IF($A166&gt;$B$5,"",IF(I166=1,$B$3*$B$8+(H166-$B$3)*$B$7,H165*$B$8+(H166-H165)*$B$7)*$B$6/1000000)</f>
        <v/>
      </c>
      <c r="L166" s="29" t="str">
        <f aca="false">IF($A166&gt;$B$5,"",IF(I166=1,(H165*$B$8+$B$4*$B$7)*$B$6/1000000,0))</f>
        <v/>
      </c>
      <c r="M166" s="30" t="str">
        <f aca="false">IF($A166&gt;$B$5,"",SUM(C$60:C166))</f>
        <v/>
      </c>
      <c r="N166" s="30" t="str">
        <f aca="false">IF($A166&gt;$B$5,"",SUM(J$60:J166))</f>
        <v/>
      </c>
      <c r="O166" s="30" t="str">
        <f aca="false">IF($A166&gt;$B$5,"",SUM(D$60:D166))</f>
        <v/>
      </c>
      <c r="P166" s="30" t="str">
        <f aca="false">IF($A166&gt;$B$5,"",SUM(K$60:K166))</f>
        <v/>
      </c>
    </row>
    <row r="167" customFormat="false" ht="15" hidden="false" customHeight="false" outlineLevel="0" collapsed="false">
      <c r="A167" s="27" t="n">
        <f aca="false">A166+1</f>
        <v>108</v>
      </c>
      <c r="B167" s="28" t="str">
        <f aca="false">IF($A167&gt;$B$5,"",$B$3+$B$4*($A167-1))</f>
        <v/>
      </c>
      <c r="C167" s="29" t="str">
        <f aca="false">IF($A167&gt;$B$5,"",B167*$B$6/1000000)</f>
        <v/>
      </c>
      <c r="D167" s="29" t="str">
        <f aca="false">IF($A167&gt;$B$5,"",(B166*$B$8+(B167-B166)*$B$7)*$B$6/1000000)</f>
        <v/>
      </c>
      <c r="E167" s="29" t="str">
        <f aca="false">IF($A167&gt;$B$5,"",IF(MOD($A167,$B$13)=0,B167*$B$7,B166*$B$8+(B167-B166)*$B$7)*$B$6/1000000)</f>
        <v/>
      </c>
      <c r="F167" s="29" t="str">
        <f aca="false">IF($A167&gt;$B$5,"",(B166*$B$9+(B167-B166)*$B$7)*$B$6/1000000)</f>
        <v/>
      </c>
      <c r="G167" s="29" t="str">
        <f aca="false">IF($A167&gt;$B$5,"",(($B$3-$B$14)*$B$8+(B167-($B$3-$B$14))*$B$7)*$B$6/1000000)</f>
        <v/>
      </c>
      <c r="H167" s="28" t="str">
        <f aca="false">IF($A167&gt;$B$5,"",IF(H166+$B$4&gt;$B$11,$B$12,H166+$B$4))</f>
        <v/>
      </c>
      <c r="I167" s="27" t="str">
        <f aca="false">IF($A167&gt;$B$5,"",IF(H166+$B$4&gt;$B$11,1,0))</f>
        <v/>
      </c>
      <c r="J167" s="29" t="str">
        <f aca="false">IF($A167&gt;$B$5,"",H167*$B$6/1000000)</f>
        <v/>
      </c>
      <c r="K167" s="29" t="str">
        <f aca="false">IF($A167&gt;$B$5,"",IF(I167=1,$B$3*$B$8+(H167-$B$3)*$B$7,H166*$B$8+(H167-H166)*$B$7)*$B$6/1000000)</f>
        <v/>
      </c>
      <c r="L167" s="29" t="str">
        <f aca="false">IF($A167&gt;$B$5,"",IF(I167=1,(H166*$B$8+$B$4*$B$7)*$B$6/1000000,0))</f>
        <v/>
      </c>
      <c r="M167" s="30" t="str">
        <f aca="false">IF($A167&gt;$B$5,"",SUM(C$60:C167))</f>
        <v/>
      </c>
      <c r="N167" s="30" t="str">
        <f aca="false">IF($A167&gt;$B$5,"",SUM(J$60:J167))</f>
        <v/>
      </c>
      <c r="O167" s="30" t="str">
        <f aca="false">IF($A167&gt;$B$5,"",SUM(D$60:D167))</f>
        <v/>
      </c>
      <c r="P167" s="30" t="str">
        <f aca="false">IF($A167&gt;$B$5,"",SUM(K$60:K167))</f>
        <v/>
      </c>
    </row>
    <row r="168" customFormat="false" ht="15" hidden="false" customHeight="false" outlineLevel="0" collapsed="false">
      <c r="A168" s="27" t="n">
        <f aca="false">A167+1</f>
        <v>109</v>
      </c>
      <c r="B168" s="28" t="str">
        <f aca="false">IF($A168&gt;$B$5,"",$B$3+$B$4*($A168-1))</f>
        <v/>
      </c>
      <c r="C168" s="29" t="str">
        <f aca="false">IF($A168&gt;$B$5,"",B168*$B$6/1000000)</f>
        <v/>
      </c>
      <c r="D168" s="29" t="str">
        <f aca="false">IF($A168&gt;$B$5,"",(B167*$B$8+(B168-B167)*$B$7)*$B$6/1000000)</f>
        <v/>
      </c>
      <c r="E168" s="29" t="str">
        <f aca="false">IF($A168&gt;$B$5,"",IF(MOD($A168,$B$13)=0,B168*$B$7,B167*$B$8+(B168-B167)*$B$7)*$B$6/1000000)</f>
        <v/>
      </c>
      <c r="F168" s="29" t="str">
        <f aca="false">IF($A168&gt;$B$5,"",(B167*$B$9+(B168-B167)*$B$7)*$B$6/1000000)</f>
        <v/>
      </c>
      <c r="G168" s="29" t="str">
        <f aca="false">IF($A168&gt;$B$5,"",(($B$3-$B$14)*$B$8+(B168-($B$3-$B$14))*$B$7)*$B$6/1000000)</f>
        <v/>
      </c>
      <c r="H168" s="28" t="str">
        <f aca="false">IF($A168&gt;$B$5,"",IF(H167+$B$4&gt;$B$11,$B$12,H167+$B$4))</f>
        <v/>
      </c>
      <c r="I168" s="27" t="str">
        <f aca="false">IF($A168&gt;$B$5,"",IF(H167+$B$4&gt;$B$11,1,0))</f>
        <v/>
      </c>
      <c r="J168" s="29" t="str">
        <f aca="false">IF($A168&gt;$B$5,"",H168*$B$6/1000000)</f>
        <v/>
      </c>
      <c r="K168" s="29" t="str">
        <f aca="false">IF($A168&gt;$B$5,"",IF(I168=1,$B$3*$B$8+(H168-$B$3)*$B$7,H167*$B$8+(H168-H167)*$B$7)*$B$6/1000000)</f>
        <v/>
      </c>
      <c r="L168" s="29" t="str">
        <f aca="false">IF($A168&gt;$B$5,"",IF(I168=1,(H167*$B$8+$B$4*$B$7)*$B$6/1000000,0))</f>
        <v/>
      </c>
      <c r="M168" s="30" t="str">
        <f aca="false">IF($A168&gt;$B$5,"",SUM(C$60:C168))</f>
        <v/>
      </c>
      <c r="N168" s="30" t="str">
        <f aca="false">IF($A168&gt;$B$5,"",SUM(J$60:J168))</f>
        <v/>
      </c>
      <c r="O168" s="30" t="str">
        <f aca="false">IF($A168&gt;$B$5,"",SUM(D$60:D168))</f>
        <v/>
      </c>
      <c r="P168" s="30" t="str">
        <f aca="false">IF($A168&gt;$B$5,"",SUM(K$60:K168))</f>
        <v/>
      </c>
    </row>
    <row r="169" customFormat="false" ht="15" hidden="false" customHeight="false" outlineLevel="0" collapsed="false">
      <c r="A169" s="27" t="n">
        <f aca="false">A168+1</f>
        <v>110</v>
      </c>
      <c r="B169" s="28" t="str">
        <f aca="false">IF($A169&gt;$B$5,"",$B$3+$B$4*($A169-1))</f>
        <v/>
      </c>
      <c r="C169" s="29" t="str">
        <f aca="false">IF($A169&gt;$B$5,"",B169*$B$6/1000000)</f>
        <v/>
      </c>
      <c r="D169" s="29" t="str">
        <f aca="false">IF($A169&gt;$B$5,"",(B168*$B$8+(B169-B168)*$B$7)*$B$6/1000000)</f>
        <v/>
      </c>
      <c r="E169" s="29" t="str">
        <f aca="false">IF($A169&gt;$B$5,"",IF(MOD($A169,$B$13)=0,B169*$B$7,B168*$B$8+(B169-B168)*$B$7)*$B$6/1000000)</f>
        <v/>
      </c>
      <c r="F169" s="29" t="str">
        <f aca="false">IF($A169&gt;$B$5,"",(B168*$B$9+(B169-B168)*$B$7)*$B$6/1000000)</f>
        <v/>
      </c>
      <c r="G169" s="29" t="str">
        <f aca="false">IF($A169&gt;$B$5,"",(($B$3-$B$14)*$B$8+(B169-($B$3-$B$14))*$B$7)*$B$6/1000000)</f>
        <v/>
      </c>
      <c r="H169" s="28" t="str">
        <f aca="false">IF($A169&gt;$B$5,"",IF(H168+$B$4&gt;$B$11,$B$12,H168+$B$4))</f>
        <v/>
      </c>
      <c r="I169" s="27" t="str">
        <f aca="false">IF($A169&gt;$B$5,"",IF(H168+$B$4&gt;$B$11,1,0))</f>
        <v/>
      </c>
      <c r="J169" s="29" t="str">
        <f aca="false">IF($A169&gt;$B$5,"",H169*$B$6/1000000)</f>
        <v/>
      </c>
      <c r="K169" s="29" t="str">
        <f aca="false">IF($A169&gt;$B$5,"",IF(I169=1,$B$3*$B$8+(H169-$B$3)*$B$7,H168*$B$8+(H169-H168)*$B$7)*$B$6/1000000)</f>
        <v/>
      </c>
      <c r="L169" s="29" t="str">
        <f aca="false">IF($A169&gt;$B$5,"",IF(I169=1,(H168*$B$8+$B$4*$B$7)*$B$6/1000000,0))</f>
        <v/>
      </c>
      <c r="M169" s="30" t="str">
        <f aca="false">IF($A169&gt;$B$5,"",SUM(C$60:C169))</f>
        <v/>
      </c>
      <c r="N169" s="30" t="str">
        <f aca="false">IF($A169&gt;$B$5,"",SUM(J$60:J169))</f>
        <v/>
      </c>
      <c r="O169" s="30" t="str">
        <f aca="false">IF($A169&gt;$B$5,"",SUM(D$60:D169))</f>
        <v/>
      </c>
      <c r="P169" s="30" t="str">
        <f aca="false">IF($A169&gt;$B$5,"",SUM(K$60:K169))</f>
        <v/>
      </c>
    </row>
    <row r="170" customFormat="false" ht="15" hidden="false" customHeight="false" outlineLevel="0" collapsed="false">
      <c r="A170" s="27" t="n">
        <f aca="false">A169+1</f>
        <v>111</v>
      </c>
      <c r="B170" s="28" t="str">
        <f aca="false">IF($A170&gt;$B$5,"",$B$3+$B$4*($A170-1))</f>
        <v/>
      </c>
      <c r="C170" s="29" t="str">
        <f aca="false">IF($A170&gt;$B$5,"",B170*$B$6/1000000)</f>
        <v/>
      </c>
      <c r="D170" s="29" t="str">
        <f aca="false">IF($A170&gt;$B$5,"",(B169*$B$8+(B170-B169)*$B$7)*$B$6/1000000)</f>
        <v/>
      </c>
      <c r="E170" s="29" t="str">
        <f aca="false">IF($A170&gt;$B$5,"",IF(MOD($A170,$B$13)=0,B170*$B$7,B169*$B$8+(B170-B169)*$B$7)*$B$6/1000000)</f>
        <v/>
      </c>
      <c r="F170" s="29" t="str">
        <f aca="false">IF($A170&gt;$B$5,"",(B169*$B$9+(B170-B169)*$B$7)*$B$6/1000000)</f>
        <v/>
      </c>
      <c r="G170" s="29" t="str">
        <f aca="false">IF($A170&gt;$B$5,"",(($B$3-$B$14)*$B$8+(B170-($B$3-$B$14))*$B$7)*$B$6/1000000)</f>
        <v/>
      </c>
      <c r="H170" s="28" t="str">
        <f aca="false">IF($A170&gt;$B$5,"",IF(H169+$B$4&gt;$B$11,$B$12,H169+$B$4))</f>
        <v/>
      </c>
      <c r="I170" s="27" t="str">
        <f aca="false">IF($A170&gt;$B$5,"",IF(H169+$B$4&gt;$B$11,1,0))</f>
        <v/>
      </c>
      <c r="J170" s="29" t="str">
        <f aca="false">IF($A170&gt;$B$5,"",H170*$B$6/1000000)</f>
        <v/>
      </c>
      <c r="K170" s="29" t="str">
        <f aca="false">IF($A170&gt;$B$5,"",IF(I170=1,$B$3*$B$8+(H170-$B$3)*$B$7,H169*$B$8+(H170-H169)*$B$7)*$B$6/1000000)</f>
        <v/>
      </c>
      <c r="L170" s="29" t="str">
        <f aca="false">IF($A170&gt;$B$5,"",IF(I170=1,(H169*$B$8+$B$4*$B$7)*$B$6/1000000,0))</f>
        <v/>
      </c>
      <c r="M170" s="30" t="str">
        <f aca="false">IF($A170&gt;$B$5,"",SUM(C$60:C170))</f>
        <v/>
      </c>
      <c r="N170" s="30" t="str">
        <f aca="false">IF($A170&gt;$B$5,"",SUM(J$60:J170))</f>
        <v/>
      </c>
      <c r="O170" s="30" t="str">
        <f aca="false">IF($A170&gt;$B$5,"",SUM(D$60:D170))</f>
        <v/>
      </c>
      <c r="P170" s="30" t="str">
        <f aca="false">IF($A170&gt;$B$5,"",SUM(K$60:K170))</f>
        <v/>
      </c>
    </row>
    <row r="171" customFormat="false" ht="15" hidden="false" customHeight="false" outlineLevel="0" collapsed="false">
      <c r="A171" s="27" t="n">
        <f aca="false">A170+1</f>
        <v>112</v>
      </c>
      <c r="B171" s="28" t="str">
        <f aca="false">IF($A171&gt;$B$5,"",$B$3+$B$4*($A171-1))</f>
        <v/>
      </c>
      <c r="C171" s="29" t="str">
        <f aca="false">IF($A171&gt;$B$5,"",B171*$B$6/1000000)</f>
        <v/>
      </c>
      <c r="D171" s="29" t="str">
        <f aca="false">IF($A171&gt;$B$5,"",(B170*$B$8+(B171-B170)*$B$7)*$B$6/1000000)</f>
        <v/>
      </c>
      <c r="E171" s="29" t="str">
        <f aca="false">IF($A171&gt;$B$5,"",IF(MOD($A171,$B$13)=0,B171*$B$7,B170*$B$8+(B171-B170)*$B$7)*$B$6/1000000)</f>
        <v/>
      </c>
      <c r="F171" s="29" t="str">
        <f aca="false">IF($A171&gt;$B$5,"",(B170*$B$9+(B171-B170)*$B$7)*$B$6/1000000)</f>
        <v/>
      </c>
      <c r="G171" s="29" t="str">
        <f aca="false">IF($A171&gt;$B$5,"",(($B$3-$B$14)*$B$8+(B171-($B$3-$B$14))*$B$7)*$B$6/1000000)</f>
        <v/>
      </c>
      <c r="H171" s="28" t="str">
        <f aca="false">IF($A171&gt;$B$5,"",IF(H170+$B$4&gt;$B$11,$B$12,H170+$B$4))</f>
        <v/>
      </c>
      <c r="I171" s="27" t="str">
        <f aca="false">IF($A171&gt;$B$5,"",IF(H170+$B$4&gt;$B$11,1,0))</f>
        <v/>
      </c>
      <c r="J171" s="29" t="str">
        <f aca="false">IF($A171&gt;$B$5,"",H171*$B$6/1000000)</f>
        <v/>
      </c>
      <c r="K171" s="29" t="str">
        <f aca="false">IF($A171&gt;$B$5,"",IF(I171=1,$B$3*$B$8+(H171-$B$3)*$B$7,H170*$B$8+(H171-H170)*$B$7)*$B$6/1000000)</f>
        <v/>
      </c>
      <c r="L171" s="29" t="str">
        <f aca="false">IF($A171&gt;$B$5,"",IF(I171=1,(H170*$B$8+$B$4*$B$7)*$B$6/1000000,0))</f>
        <v/>
      </c>
      <c r="M171" s="30" t="str">
        <f aca="false">IF($A171&gt;$B$5,"",SUM(C$60:C171))</f>
        <v/>
      </c>
      <c r="N171" s="30" t="str">
        <f aca="false">IF($A171&gt;$B$5,"",SUM(J$60:J171))</f>
        <v/>
      </c>
      <c r="O171" s="30" t="str">
        <f aca="false">IF($A171&gt;$B$5,"",SUM(D$60:D171))</f>
        <v/>
      </c>
      <c r="P171" s="30" t="str">
        <f aca="false">IF($A171&gt;$B$5,"",SUM(K$60:K171))</f>
        <v/>
      </c>
    </row>
    <row r="172" customFormat="false" ht="15" hidden="false" customHeight="false" outlineLevel="0" collapsed="false">
      <c r="A172" s="27" t="n">
        <f aca="false">A171+1</f>
        <v>113</v>
      </c>
      <c r="B172" s="28" t="str">
        <f aca="false">IF($A172&gt;$B$5,"",$B$3+$B$4*($A172-1))</f>
        <v/>
      </c>
      <c r="C172" s="29" t="str">
        <f aca="false">IF($A172&gt;$B$5,"",B172*$B$6/1000000)</f>
        <v/>
      </c>
      <c r="D172" s="29" t="str">
        <f aca="false">IF($A172&gt;$B$5,"",(B171*$B$8+(B172-B171)*$B$7)*$B$6/1000000)</f>
        <v/>
      </c>
      <c r="E172" s="29" t="str">
        <f aca="false">IF($A172&gt;$B$5,"",IF(MOD($A172,$B$13)=0,B172*$B$7,B171*$B$8+(B172-B171)*$B$7)*$B$6/1000000)</f>
        <v/>
      </c>
      <c r="F172" s="29" t="str">
        <f aca="false">IF($A172&gt;$B$5,"",(B171*$B$9+(B172-B171)*$B$7)*$B$6/1000000)</f>
        <v/>
      </c>
      <c r="G172" s="29" t="str">
        <f aca="false">IF($A172&gt;$B$5,"",(($B$3-$B$14)*$B$8+(B172-($B$3-$B$14))*$B$7)*$B$6/1000000)</f>
        <v/>
      </c>
      <c r="H172" s="28" t="str">
        <f aca="false">IF($A172&gt;$B$5,"",IF(H171+$B$4&gt;$B$11,$B$12,H171+$B$4))</f>
        <v/>
      </c>
      <c r="I172" s="27" t="str">
        <f aca="false">IF($A172&gt;$B$5,"",IF(H171+$B$4&gt;$B$11,1,0))</f>
        <v/>
      </c>
      <c r="J172" s="29" t="str">
        <f aca="false">IF($A172&gt;$B$5,"",H172*$B$6/1000000)</f>
        <v/>
      </c>
      <c r="K172" s="29" t="str">
        <f aca="false">IF($A172&gt;$B$5,"",IF(I172=1,$B$3*$B$8+(H172-$B$3)*$B$7,H171*$B$8+(H172-H171)*$B$7)*$B$6/1000000)</f>
        <v/>
      </c>
      <c r="L172" s="29" t="str">
        <f aca="false">IF($A172&gt;$B$5,"",IF(I172=1,(H171*$B$8+$B$4*$B$7)*$B$6/1000000,0))</f>
        <v/>
      </c>
      <c r="M172" s="30" t="str">
        <f aca="false">IF($A172&gt;$B$5,"",SUM(C$60:C172))</f>
        <v/>
      </c>
      <c r="N172" s="30" t="str">
        <f aca="false">IF($A172&gt;$B$5,"",SUM(J$60:J172))</f>
        <v/>
      </c>
      <c r="O172" s="30" t="str">
        <f aca="false">IF($A172&gt;$B$5,"",SUM(D$60:D172))</f>
        <v/>
      </c>
      <c r="P172" s="30" t="str">
        <f aca="false">IF($A172&gt;$B$5,"",SUM(K$60:K172))</f>
        <v/>
      </c>
    </row>
    <row r="173" customFormat="false" ht="15" hidden="false" customHeight="false" outlineLevel="0" collapsed="false">
      <c r="A173" s="27" t="n">
        <f aca="false">A172+1</f>
        <v>114</v>
      </c>
      <c r="B173" s="28" t="str">
        <f aca="false">IF($A173&gt;$B$5,"",$B$3+$B$4*($A173-1))</f>
        <v/>
      </c>
      <c r="C173" s="29" t="str">
        <f aca="false">IF($A173&gt;$B$5,"",B173*$B$6/1000000)</f>
        <v/>
      </c>
      <c r="D173" s="29" t="str">
        <f aca="false">IF($A173&gt;$B$5,"",(B172*$B$8+(B173-B172)*$B$7)*$B$6/1000000)</f>
        <v/>
      </c>
      <c r="E173" s="29" t="str">
        <f aca="false">IF($A173&gt;$B$5,"",IF(MOD($A173,$B$13)=0,B173*$B$7,B172*$B$8+(B173-B172)*$B$7)*$B$6/1000000)</f>
        <v/>
      </c>
      <c r="F173" s="29" t="str">
        <f aca="false">IF($A173&gt;$B$5,"",(B172*$B$9+(B173-B172)*$B$7)*$B$6/1000000)</f>
        <v/>
      </c>
      <c r="G173" s="29" t="str">
        <f aca="false">IF($A173&gt;$B$5,"",(($B$3-$B$14)*$B$8+(B173-($B$3-$B$14))*$B$7)*$B$6/1000000)</f>
        <v/>
      </c>
      <c r="H173" s="28" t="str">
        <f aca="false">IF($A173&gt;$B$5,"",IF(H172+$B$4&gt;$B$11,$B$12,H172+$B$4))</f>
        <v/>
      </c>
      <c r="I173" s="27" t="str">
        <f aca="false">IF($A173&gt;$B$5,"",IF(H172+$B$4&gt;$B$11,1,0))</f>
        <v/>
      </c>
      <c r="J173" s="29" t="str">
        <f aca="false">IF($A173&gt;$B$5,"",H173*$B$6/1000000)</f>
        <v/>
      </c>
      <c r="K173" s="29" t="str">
        <f aca="false">IF($A173&gt;$B$5,"",IF(I173=1,$B$3*$B$8+(H173-$B$3)*$B$7,H172*$B$8+(H173-H172)*$B$7)*$B$6/1000000)</f>
        <v/>
      </c>
      <c r="L173" s="29" t="str">
        <f aca="false">IF($A173&gt;$B$5,"",IF(I173=1,(H172*$B$8+$B$4*$B$7)*$B$6/1000000,0))</f>
        <v/>
      </c>
      <c r="M173" s="30" t="str">
        <f aca="false">IF($A173&gt;$B$5,"",SUM(C$60:C173))</f>
        <v/>
      </c>
      <c r="N173" s="30" t="str">
        <f aca="false">IF($A173&gt;$B$5,"",SUM(J$60:J173))</f>
        <v/>
      </c>
      <c r="O173" s="30" t="str">
        <f aca="false">IF($A173&gt;$B$5,"",SUM(D$60:D173))</f>
        <v/>
      </c>
      <c r="P173" s="30" t="str">
        <f aca="false">IF($A173&gt;$B$5,"",SUM(K$60:K173))</f>
        <v/>
      </c>
    </row>
    <row r="174" customFormat="false" ht="15" hidden="false" customHeight="false" outlineLevel="0" collapsed="false">
      <c r="A174" s="27" t="n">
        <f aca="false">A173+1</f>
        <v>115</v>
      </c>
      <c r="B174" s="28" t="str">
        <f aca="false">IF($A174&gt;$B$5,"",$B$3+$B$4*($A174-1))</f>
        <v/>
      </c>
      <c r="C174" s="29" t="str">
        <f aca="false">IF($A174&gt;$B$5,"",B174*$B$6/1000000)</f>
        <v/>
      </c>
      <c r="D174" s="29" t="str">
        <f aca="false">IF($A174&gt;$B$5,"",(B173*$B$8+(B174-B173)*$B$7)*$B$6/1000000)</f>
        <v/>
      </c>
      <c r="E174" s="29" t="str">
        <f aca="false">IF($A174&gt;$B$5,"",IF(MOD($A174,$B$13)=0,B174*$B$7,B173*$B$8+(B174-B173)*$B$7)*$B$6/1000000)</f>
        <v/>
      </c>
      <c r="F174" s="29" t="str">
        <f aca="false">IF($A174&gt;$B$5,"",(B173*$B$9+(B174-B173)*$B$7)*$B$6/1000000)</f>
        <v/>
      </c>
      <c r="G174" s="29" t="str">
        <f aca="false">IF($A174&gt;$B$5,"",(($B$3-$B$14)*$B$8+(B174-($B$3-$B$14))*$B$7)*$B$6/1000000)</f>
        <v/>
      </c>
      <c r="H174" s="28" t="str">
        <f aca="false">IF($A174&gt;$B$5,"",IF(H173+$B$4&gt;$B$11,$B$12,H173+$B$4))</f>
        <v/>
      </c>
      <c r="I174" s="27" t="str">
        <f aca="false">IF($A174&gt;$B$5,"",IF(H173+$B$4&gt;$B$11,1,0))</f>
        <v/>
      </c>
      <c r="J174" s="29" t="str">
        <f aca="false">IF($A174&gt;$B$5,"",H174*$B$6/1000000)</f>
        <v/>
      </c>
      <c r="K174" s="29" t="str">
        <f aca="false">IF($A174&gt;$B$5,"",IF(I174=1,$B$3*$B$8+(H174-$B$3)*$B$7,H173*$B$8+(H174-H173)*$B$7)*$B$6/1000000)</f>
        <v/>
      </c>
      <c r="L174" s="29" t="str">
        <f aca="false">IF($A174&gt;$B$5,"",IF(I174=1,(H173*$B$8+$B$4*$B$7)*$B$6/1000000,0))</f>
        <v/>
      </c>
      <c r="M174" s="30" t="str">
        <f aca="false">IF($A174&gt;$B$5,"",SUM(C$60:C174))</f>
        <v/>
      </c>
      <c r="N174" s="30" t="str">
        <f aca="false">IF($A174&gt;$B$5,"",SUM(J$60:J174))</f>
        <v/>
      </c>
      <c r="O174" s="30" t="str">
        <f aca="false">IF($A174&gt;$B$5,"",SUM(D$60:D174))</f>
        <v/>
      </c>
      <c r="P174" s="30" t="str">
        <f aca="false">IF($A174&gt;$B$5,"",SUM(K$60:K174))</f>
        <v/>
      </c>
    </row>
    <row r="175" customFormat="false" ht="15" hidden="false" customHeight="false" outlineLevel="0" collapsed="false">
      <c r="A175" s="27" t="n">
        <f aca="false">A174+1</f>
        <v>116</v>
      </c>
      <c r="B175" s="28" t="str">
        <f aca="false">IF($A175&gt;$B$5,"",$B$3+$B$4*($A175-1))</f>
        <v/>
      </c>
      <c r="C175" s="29" t="str">
        <f aca="false">IF($A175&gt;$B$5,"",B175*$B$6/1000000)</f>
        <v/>
      </c>
      <c r="D175" s="29" t="str">
        <f aca="false">IF($A175&gt;$B$5,"",(B174*$B$8+(B175-B174)*$B$7)*$B$6/1000000)</f>
        <v/>
      </c>
      <c r="E175" s="29" t="str">
        <f aca="false">IF($A175&gt;$B$5,"",IF(MOD($A175,$B$13)=0,B175*$B$7,B174*$B$8+(B175-B174)*$B$7)*$B$6/1000000)</f>
        <v/>
      </c>
      <c r="F175" s="29" t="str">
        <f aca="false">IF($A175&gt;$B$5,"",(B174*$B$9+(B175-B174)*$B$7)*$B$6/1000000)</f>
        <v/>
      </c>
      <c r="G175" s="29" t="str">
        <f aca="false">IF($A175&gt;$B$5,"",(($B$3-$B$14)*$B$8+(B175-($B$3-$B$14))*$B$7)*$B$6/1000000)</f>
        <v/>
      </c>
      <c r="H175" s="28" t="str">
        <f aca="false">IF($A175&gt;$B$5,"",IF(H174+$B$4&gt;$B$11,$B$12,H174+$B$4))</f>
        <v/>
      </c>
      <c r="I175" s="27" t="str">
        <f aca="false">IF($A175&gt;$B$5,"",IF(H174+$B$4&gt;$B$11,1,0))</f>
        <v/>
      </c>
      <c r="J175" s="29" t="str">
        <f aca="false">IF($A175&gt;$B$5,"",H175*$B$6/1000000)</f>
        <v/>
      </c>
      <c r="K175" s="29" t="str">
        <f aca="false">IF($A175&gt;$B$5,"",IF(I175=1,$B$3*$B$8+(H175-$B$3)*$B$7,H174*$B$8+(H175-H174)*$B$7)*$B$6/1000000)</f>
        <v/>
      </c>
      <c r="L175" s="29" t="str">
        <f aca="false">IF($A175&gt;$B$5,"",IF(I175=1,(H174*$B$8+$B$4*$B$7)*$B$6/1000000,0))</f>
        <v/>
      </c>
      <c r="M175" s="30" t="str">
        <f aca="false">IF($A175&gt;$B$5,"",SUM(C$60:C175))</f>
        <v/>
      </c>
      <c r="N175" s="30" t="str">
        <f aca="false">IF($A175&gt;$B$5,"",SUM(J$60:J175))</f>
        <v/>
      </c>
      <c r="O175" s="30" t="str">
        <f aca="false">IF($A175&gt;$B$5,"",SUM(D$60:D175))</f>
        <v/>
      </c>
      <c r="P175" s="30" t="str">
        <f aca="false">IF($A175&gt;$B$5,"",SUM(K$60:K175))</f>
        <v/>
      </c>
    </row>
    <row r="176" customFormat="false" ht="15" hidden="false" customHeight="false" outlineLevel="0" collapsed="false">
      <c r="A176" s="27" t="n">
        <f aca="false">A175+1</f>
        <v>117</v>
      </c>
      <c r="B176" s="28" t="str">
        <f aca="false">IF($A176&gt;$B$5,"",$B$3+$B$4*($A176-1))</f>
        <v/>
      </c>
      <c r="C176" s="29" t="str">
        <f aca="false">IF($A176&gt;$B$5,"",B176*$B$6/1000000)</f>
        <v/>
      </c>
      <c r="D176" s="29" t="str">
        <f aca="false">IF($A176&gt;$B$5,"",(B175*$B$8+(B176-B175)*$B$7)*$B$6/1000000)</f>
        <v/>
      </c>
      <c r="E176" s="29" t="str">
        <f aca="false">IF($A176&gt;$B$5,"",IF(MOD($A176,$B$13)=0,B176*$B$7,B175*$B$8+(B176-B175)*$B$7)*$B$6/1000000)</f>
        <v/>
      </c>
      <c r="F176" s="29" t="str">
        <f aca="false">IF($A176&gt;$B$5,"",(B175*$B$9+(B176-B175)*$B$7)*$B$6/1000000)</f>
        <v/>
      </c>
      <c r="G176" s="29" t="str">
        <f aca="false">IF($A176&gt;$B$5,"",(($B$3-$B$14)*$B$8+(B176-($B$3-$B$14))*$B$7)*$B$6/1000000)</f>
        <v/>
      </c>
      <c r="H176" s="28" t="str">
        <f aca="false">IF($A176&gt;$B$5,"",IF(H175+$B$4&gt;$B$11,$B$12,H175+$B$4))</f>
        <v/>
      </c>
      <c r="I176" s="27" t="str">
        <f aca="false">IF($A176&gt;$B$5,"",IF(H175+$B$4&gt;$B$11,1,0))</f>
        <v/>
      </c>
      <c r="J176" s="29" t="str">
        <f aca="false">IF($A176&gt;$B$5,"",H176*$B$6/1000000)</f>
        <v/>
      </c>
      <c r="K176" s="29" t="str">
        <f aca="false">IF($A176&gt;$B$5,"",IF(I176=1,$B$3*$B$8+(H176-$B$3)*$B$7,H175*$B$8+(H176-H175)*$B$7)*$B$6/1000000)</f>
        <v/>
      </c>
      <c r="L176" s="29" t="str">
        <f aca="false">IF($A176&gt;$B$5,"",IF(I176=1,(H175*$B$8+$B$4*$B$7)*$B$6/1000000,0))</f>
        <v/>
      </c>
      <c r="M176" s="30" t="str">
        <f aca="false">IF($A176&gt;$B$5,"",SUM(C$60:C176))</f>
        <v/>
      </c>
      <c r="N176" s="30" t="str">
        <f aca="false">IF($A176&gt;$B$5,"",SUM(J$60:J176))</f>
        <v/>
      </c>
      <c r="O176" s="30" t="str">
        <f aca="false">IF($A176&gt;$B$5,"",SUM(D$60:D176))</f>
        <v/>
      </c>
      <c r="P176" s="30" t="str">
        <f aca="false">IF($A176&gt;$B$5,"",SUM(K$60:K176))</f>
        <v/>
      </c>
    </row>
    <row r="177" customFormat="false" ht="15" hidden="false" customHeight="false" outlineLevel="0" collapsed="false">
      <c r="A177" s="27" t="n">
        <f aca="false">A176+1</f>
        <v>118</v>
      </c>
      <c r="B177" s="28" t="str">
        <f aca="false">IF($A177&gt;$B$5,"",$B$3+$B$4*($A177-1))</f>
        <v/>
      </c>
      <c r="C177" s="29" t="str">
        <f aca="false">IF($A177&gt;$B$5,"",B177*$B$6/1000000)</f>
        <v/>
      </c>
      <c r="D177" s="29" t="str">
        <f aca="false">IF($A177&gt;$B$5,"",(B176*$B$8+(B177-B176)*$B$7)*$B$6/1000000)</f>
        <v/>
      </c>
      <c r="E177" s="29" t="str">
        <f aca="false">IF($A177&gt;$B$5,"",IF(MOD($A177,$B$13)=0,B177*$B$7,B176*$B$8+(B177-B176)*$B$7)*$B$6/1000000)</f>
        <v/>
      </c>
      <c r="F177" s="29" t="str">
        <f aca="false">IF($A177&gt;$B$5,"",(B176*$B$9+(B177-B176)*$B$7)*$B$6/1000000)</f>
        <v/>
      </c>
      <c r="G177" s="29" t="str">
        <f aca="false">IF($A177&gt;$B$5,"",(($B$3-$B$14)*$B$8+(B177-($B$3-$B$14))*$B$7)*$B$6/1000000)</f>
        <v/>
      </c>
      <c r="H177" s="28" t="str">
        <f aca="false">IF($A177&gt;$B$5,"",IF(H176+$B$4&gt;$B$11,$B$12,H176+$B$4))</f>
        <v/>
      </c>
      <c r="I177" s="27" t="str">
        <f aca="false">IF($A177&gt;$B$5,"",IF(H176+$B$4&gt;$B$11,1,0))</f>
        <v/>
      </c>
      <c r="J177" s="29" t="str">
        <f aca="false">IF($A177&gt;$B$5,"",H177*$B$6/1000000)</f>
        <v/>
      </c>
      <c r="K177" s="29" t="str">
        <f aca="false">IF($A177&gt;$B$5,"",IF(I177=1,$B$3*$B$8+(H177-$B$3)*$B$7,H176*$B$8+(H177-H176)*$B$7)*$B$6/1000000)</f>
        <v/>
      </c>
      <c r="L177" s="29" t="str">
        <f aca="false">IF($A177&gt;$B$5,"",IF(I177=1,(H176*$B$8+$B$4*$B$7)*$B$6/1000000,0))</f>
        <v/>
      </c>
      <c r="M177" s="30" t="str">
        <f aca="false">IF($A177&gt;$B$5,"",SUM(C$60:C177))</f>
        <v/>
      </c>
      <c r="N177" s="30" t="str">
        <f aca="false">IF($A177&gt;$B$5,"",SUM(J$60:J177))</f>
        <v/>
      </c>
      <c r="O177" s="30" t="str">
        <f aca="false">IF($A177&gt;$B$5,"",SUM(D$60:D177))</f>
        <v/>
      </c>
      <c r="P177" s="30" t="str">
        <f aca="false">IF($A177&gt;$B$5,"",SUM(K$60:K177))</f>
        <v/>
      </c>
    </row>
    <row r="178" customFormat="false" ht="15" hidden="false" customHeight="false" outlineLevel="0" collapsed="false">
      <c r="A178" s="27" t="n">
        <f aca="false">A177+1</f>
        <v>119</v>
      </c>
      <c r="B178" s="28" t="str">
        <f aca="false">IF($A178&gt;$B$5,"",$B$3+$B$4*($A178-1))</f>
        <v/>
      </c>
      <c r="C178" s="29" t="str">
        <f aca="false">IF($A178&gt;$B$5,"",B178*$B$6/1000000)</f>
        <v/>
      </c>
      <c r="D178" s="29" t="str">
        <f aca="false">IF($A178&gt;$B$5,"",(B177*$B$8+(B178-B177)*$B$7)*$B$6/1000000)</f>
        <v/>
      </c>
      <c r="E178" s="29" t="str">
        <f aca="false">IF($A178&gt;$B$5,"",IF(MOD($A178,$B$13)=0,B178*$B$7,B177*$B$8+(B178-B177)*$B$7)*$B$6/1000000)</f>
        <v/>
      </c>
      <c r="F178" s="29" t="str">
        <f aca="false">IF($A178&gt;$B$5,"",(B177*$B$9+(B178-B177)*$B$7)*$B$6/1000000)</f>
        <v/>
      </c>
      <c r="G178" s="29" t="str">
        <f aca="false">IF($A178&gt;$B$5,"",(($B$3-$B$14)*$B$8+(B178-($B$3-$B$14))*$B$7)*$B$6/1000000)</f>
        <v/>
      </c>
      <c r="H178" s="28" t="str">
        <f aca="false">IF($A178&gt;$B$5,"",IF(H177+$B$4&gt;$B$11,$B$12,H177+$B$4))</f>
        <v/>
      </c>
      <c r="I178" s="27" t="str">
        <f aca="false">IF($A178&gt;$B$5,"",IF(H177+$B$4&gt;$B$11,1,0))</f>
        <v/>
      </c>
      <c r="J178" s="29" t="str">
        <f aca="false">IF($A178&gt;$B$5,"",H178*$B$6/1000000)</f>
        <v/>
      </c>
      <c r="K178" s="29" t="str">
        <f aca="false">IF($A178&gt;$B$5,"",IF(I178=1,$B$3*$B$8+(H178-$B$3)*$B$7,H177*$B$8+(H178-H177)*$B$7)*$B$6/1000000)</f>
        <v/>
      </c>
      <c r="L178" s="29" t="str">
        <f aca="false">IF($A178&gt;$B$5,"",IF(I178=1,(H177*$B$8+$B$4*$B$7)*$B$6/1000000,0))</f>
        <v/>
      </c>
      <c r="M178" s="30" t="str">
        <f aca="false">IF($A178&gt;$B$5,"",SUM(C$60:C178))</f>
        <v/>
      </c>
      <c r="N178" s="30" t="str">
        <f aca="false">IF($A178&gt;$B$5,"",SUM(J$60:J178))</f>
        <v/>
      </c>
      <c r="O178" s="30" t="str">
        <f aca="false">IF($A178&gt;$B$5,"",SUM(D$60:D178))</f>
        <v/>
      </c>
      <c r="P178" s="30" t="str">
        <f aca="false">IF($A178&gt;$B$5,"",SUM(K$60:K178))</f>
        <v/>
      </c>
    </row>
    <row r="179" customFormat="false" ht="15" hidden="false" customHeight="false" outlineLevel="0" collapsed="false">
      <c r="A179" s="27" t="n">
        <f aca="false">A178+1</f>
        <v>120</v>
      </c>
      <c r="B179" s="28" t="str">
        <f aca="false">IF($A179&gt;$B$5,"",$B$3+$B$4*($A179-1))</f>
        <v/>
      </c>
      <c r="C179" s="29" t="str">
        <f aca="false">IF($A179&gt;$B$5,"",B179*$B$6/1000000)</f>
        <v/>
      </c>
      <c r="D179" s="29" t="str">
        <f aca="false">IF($A179&gt;$B$5,"",(B178*$B$8+(B179-B178)*$B$7)*$B$6/1000000)</f>
        <v/>
      </c>
      <c r="E179" s="29" t="str">
        <f aca="false">IF($A179&gt;$B$5,"",IF(MOD($A179,$B$13)=0,B179*$B$7,B178*$B$8+(B179-B178)*$B$7)*$B$6/1000000)</f>
        <v/>
      </c>
      <c r="F179" s="29" t="str">
        <f aca="false">IF($A179&gt;$B$5,"",(B178*$B$9+(B179-B178)*$B$7)*$B$6/1000000)</f>
        <v/>
      </c>
      <c r="G179" s="29" t="str">
        <f aca="false">IF($A179&gt;$B$5,"",(($B$3-$B$14)*$B$8+(B179-($B$3-$B$14))*$B$7)*$B$6/1000000)</f>
        <v/>
      </c>
      <c r="H179" s="28" t="str">
        <f aca="false">IF($A179&gt;$B$5,"",IF(H178+$B$4&gt;$B$11,$B$12,H178+$B$4))</f>
        <v/>
      </c>
      <c r="I179" s="27" t="str">
        <f aca="false">IF($A179&gt;$B$5,"",IF(H178+$B$4&gt;$B$11,1,0))</f>
        <v/>
      </c>
      <c r="J179" s="29" t="str">
        <f aca="false">IF($A179&gt;$B$5,"",H179*$B$6/1000000)</f>
        <v/>
      </c>
      <c r="K179" s="29" t="str">
        <f aca="false">IF($A179&gt;$B$5,"",IF(I179=1,$B$3*$B$8+(H179-$B$3)*$B$7,H178*$B$8+(H179-H178)*$B$7)*$B$6/1000000)</f>
        <v/>
      </c>
      <c r="L179" s="29" t="str">
        <f aca="false">IF($A179&gt;$B$5,"",IF(I179=1,(H178*$B$8+$B$4*$B$7)*$B$6/1000000,0))</f>
        <v/>
      </c>
      <c r="M179" s="30" t="str">
        <f aca="false">IF($A179&gt;$B$5,"",SUM(C$60:C179))</f>
        <v/>
      </c>
      <c r="N179" s="30" t="str">
        <f aca="false">IF($A179&gt;$B$5,"",SUM(J$60:J179))</f>
        <v/>
      </c>
      <c r="O179" s="30" t="str">
        <f aca="false">IF($A179&gt;$B$5,"",SUM(D$60:D179))</f>
        <v/>
      </c>
      <c r="P179" s="30" t="str">
        <f aca="false">IF($A179&gt;$B$5,"",SUM(K$60:K179))</f>
        <v/>
      </c>
    </row>
  </sheetData>
  <dataValidations count="1">
    <dataValidation allowBlank="false" error="The per-call table holds 120 rows: enter a whole number from 1 to 120." errorStyle="stop" errorTitle="Calls in the session" operator="between" showDropDown="false" showErrorMessage="true" showInputMessage="false" sqref="B5" type="whole">
      <formula1>1</formula1>
      <formula2>120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4"/>
  </cols>
  <sheetData>
    <row r="1" customFormat="false" ht="16.15" hidden="false" customHeight="false" outlineLevel="0" collapsed="false">
      <c r="A1" s="7" t="s">
        <v>87</v>
      </c>
    </row>
    <row r="3" customFormat="false" ht="15" hidden="false" customHeight="false" outlineLevel="0" collapsed="false">
      <c r="A3" s="8" t="s">
        <v>88</v>
      </c>
      <c r="B3" s="12" t="n">
        <v>0.995</v>
      </c>
    </row>
    <row r="5" customFormat="false" ht="15" hidden="false" customHeight="false" outlineLevel="0" collapsed="false">
      <c r="A5" s="4" t="s">
        <v>89</v>
      </c>
    </row>
    <row r="6" customFormat="false" ht="23.85" hidden="false" customHeight="false" outlineLevel="0" collapsed="false">
      <c r="A6" s="13" t="s">
        <v>90</v>
      </c>
      <c r="B6" s="13" t="s">
        <v>91</v>
      </c>
      <c r="C6" s="13" t="s">
        <v>92</v>
      </c>
      <c r="D6" s="13" t="s">
        <v>93</v>
      </c>
    </row>
    <row r="7" customFormat="false" ht="15" hidden="false" customHeight="false" outlineLevel="0" collapsed="false">
      <c r="A7" s="8" t="s">
        <v>94</v>
      </c>
      <c r="B7" s="10" t="n">
        <v>2</v>
      </c>
      <c r="C7" s="10" t="n">
        <v>3</v>
      </c>
      <c r="D7" s="11" t="n">
        <v>0.62</v>
      </c>
    </row>
    <row r="8" customFormat="false" ht="15" hidden="false" customHeight="false" outlineLevel="0" collapsed="false">
      <c r="A8" s="8" t="s">
        <v>95</v>
      </c>
      <c r="B8" s="10" t="n">
        <v>72</v>
      </c>
      <c r="C8" s="10" t="n">
        <v>8</v>
      </c>
      <c r="D8" s="11" t="n">
        <v>0.71</v>
      </c>
    </row>
    <row r="9" customFormat="false" ht="15" hidden="false" customHeight="false" outlineLevel="0" collapsed="false">
      <c r="A9" s="8" t="s">
        <v>96</v>
      </c>
      <c r="B9" s="10" t="n">
        <v>400</v>
      </c>
      <c r="C9" s="10" t="n">
        <v>9</v>
      </c>
      <c r="D9" s="11" t="n">
        <v>0.8</v>
      </c>
    </row>
    <row r="11" customFormat="false" ht="15" hidden="false" customHeight="false" outlineLevel="0" collapsed="false">
      <c r="A11" s="4" t="s">
        <v>97</v>
      </c>
    </row>
    <row r="12" customFormat="false" ht="23.85" hidden="false" customHeight="false" outlineLevel="0" collapsed="false">
      <c r="A12" s="13" t="s">
        <v>98</v>
      </c>
      <c r="B12" s="13" t="s">
        <v>99</v>
      </c>
      <c r="C12" s="13" t="s">
        <v>100</v>
      </c>
      <c r="D12" s="13" t="s">
        <v>101</v>
      </c>
    </row>
    <row r="13" customFormat="false" ht="15" hidden="false" customHeight="false" outlineLevel="0" collapsed="false">
      <c r="A13" s="8" t="s">
        <v>102</v>
      </c>
      <c r="B13" s="31" t="n">
        <v>1</v>
      </c>
      <c r="C13" s="31" t="n">
        <v>1</v>
      </c>
      <c r="D13" s="31" t="n">
        <v>1</v>
      </c>
    </row>
    <row r="14" customFormat="false" ht="15" hidden="false" customHeight="false" outlineLevel="0" collapsed="false">
      <c r="A14" s="8" t="s">
        <v>103</v>
      </c>
      <c r="B14" s="31" t="n">
        <v>1</v>
      </c>
      <c r="C14" s="31" t="n">
        <v>0</v>
      </c>
      <c r="D14" s="31" t="n">
        <v>0</v>
      </c>
    </row>
    <row r="15" customFormat="false" ht="15" hidden="false" customHeight="false" outlineLevel="0" collapsed="false">
      <c r="A15" s="8" t="s">
        <v>104</v>
      </c>
      <c r="B15" s="31" t="n">
        <v>1</v>
      </c>
      <c r="C15" s="31" t="n">
        <v>2</v>
      </c>
      <c r="D15" s="31" t="n">
        <v>1</v>
      </c>
    </row>
    <row r="16" customFormat="false" ht="15" hidden="false" customHeight="false" outlineLevel="0" collapsed="false">
      <c r="A16" s="8" t="s">
        <v>105</v>
      </c>
      <c r="B16" s="31" t="n">
        <v>1</v>
      </c>
      <c r="C16" s="31" t="n">
        <v>1</v>
      </c>
      <c r="D16" s="31" t="n">
        <v>1</v>
      </c>
    </row>
    <row r="18" customFormat="false" ht="15" hidden="false" customHeight="false" outlineLevel="0" collapsed="false">
      <c r="A18" s="4" t="s">
        <v>106</v>
      </c>
    </row>
    <row r="19" customFormat="false" ht="27.75" hidden="false" customHeight="true" outlineLevel="0" collapsed="false">
      <c r="A19" s="13" t="s">
        <v>90</v>
      </c>
      <c r="B19" s="13" t="s">
        <v>107</v>
      </c>
      <c r="C19" s="13" t="s">
        <v>108</v>
      </c>
      <c r="D19" s="13" t="s">
        <v>109</v>
      </c>
      <c r="E19" s="13" t="s">
        <v>110</v>
      </c>
      <c r="F19" s="13" t="s">
        <v>111</v>
      </c>
    </row>
    <row r="20" customFormat="false" ht="15" hidden="false" customHeight="false" outlineLevel="0" collapsed="false">
      <c r="A20" s="8" t="str">
        <f aca="false">A7</f>
        <v>M1 — scheduling note</v>
      </c>
      <c r="B20" s="32" t="n">
        <f aca="false">$B$3^B7</f>
        <v>0.990025</v>
      </c>
      <c r="C20" s="19" t="n">
        <f aca="false">(B20-MIN($B$20:$B$22))/(MAX($B$20:$B$22)-MIN($B$20:$B$22))</f>
        <v>1</v>
      </c>
      <c r="D20" s="19" t="n">
        <f aca="false">(C7-MIN($C$7:$C$9))/(MAX($C$7:$C$9)-MIN($C$7:$C$9))</f>
        <v>0</v>
      </c>
      <c r="E20" s="19" t="n">
        <f aca="false">(D7-MIN($D$7:$D$9))/(MAX($D$7:$D$9)-MIN($D$7:$D$9))</f>
        <v>0</v>
      </c>
      <c r="F20" s="19" t="n">
        <f aca="false">C7/10</f>
        <v>0.3</v>
      </c>
    </row>
    <row r="21" customFormat="false" ht="15" hidden="false" customHeight="false" outlineLevel="0" collapsed="false">
      <c r="A21" s="8" t="str">
        <f aca="false">A8</f>
        <v>M2 — supplier delay</v>
      </c>
      <c r="B21" s="32" t="n">
        <f aca="false">$B$3^B8</f>
        <v>0.697046600835495</v>
      </c>
      <c r="C21" s="19" t="n">
        <f aca="false">(B21-MIN($B$20:$B$22))/(MAX($B$20:$B$22)-MIN($B$20:$B$22))</f>
        <v>0.6574822107149</v>
      </c>
      <c r="D21" s="19" t="n">
        <f aca="false">(C8-MIN($C$7:$C$9))/(MAX($C$7:$C$9)-MIN($C$7:$C$9))</f>
        <v>0.833333333333333</v>
      </c>
      <c r="E21" s="19" t="n">
        <f aca="false">(D8-MIN($D$7:$D$9))/(MAX($D$7:$D$9)-MIN($D$7:$D$9))</f>
        <v>0.5</v>
      </c>
      <c r="F21" s="19" t="n">
        <f aca="false">C8/10</f>
        <v>0.8</v>
      </c>
    </row>
    <row r="22" customFormat="false" ht="15" hidden="false" customHeight="false" outlineLevel="0" collapsed="false">
      <c r="A22" s="8" t="str">
        <f aca="false">A9</f>
        <v>M3 — last year's failed installation</v>
      </c>
      <c r="B22" s="32" t="n">
        <f aca="false">$B$3^B9</f>
        <v>0.134658042926013</v>
      </c>
      <c r="C22" s="19" t="n">
        <f aca="false">(B22-MIN($B$20:$B$22))/(MAX($B$20:$B$22)-MIN($B$20:$B$22))</f>
        <v>0</v>
      </c>
      <c r="D22" s="19" t="n">
        <f aca="false">(C9-MIN($C$7:$C$9))/(MAX($C$7:$C$9)-MIN($C$7:$C$9))</f>
        <v>1</v>
      </c>
      <c r="E22" s="19" t="n">
        <f aca="false">(D9-MIN($D$7:$D$9))/(MAX($D$7:$D$9)-MIN($D$7:$D$9))</f>
        <v>1</v>
      </c>
      <c r="F22" s="19" t="n">
        <f aca="false">C9/10</f>
        <v>0.9</v>
      </c>
    </row>
    <row r="23" customFormat="false" ht="15" hidden="false" customHeight="false" outlineLevel="0" collapsed="false">
      <c r="A23" s="4" t="s">
        <v>42</v>
      </c>
    </row>
    <row r="24" customFormat="false" ht="15" hidden="false" customHeight="false" outlineLevel="0" collapsed="false">
      <c r="A24" s="23" t="s">
        <v>112</v>
      </c>
      <c r="B24" s="33" t="n">
        <v>0.99</v>
      </c>
      <c r="C24" s="20" t="n">
        <v>1</v>
      </c>
      <c r="D24" s="20" t="n">
        <v>0</v>
      </c>
      <c r="E24" s="20" t="n">
        <v>0</v>
      </c>
    </row>
    <row r="25" customFormat="false" ht="15" hidden="false" customHeight="false" outlineLevel="0" collapsed="false">
      <c r="A25" s="23" t="s">
        <v>113</v>
      </c>
      <c r="B25" s="33" t="n">
        <v>0.697</v>
      </c>
      <c r="C25" s="20" t="n">
        <v>0.66</v>
      </c>
      <c r="D25" s="20" t="n">
        <v>0.83</v>
      </c>
      <c r="E25" s="20" t="n">
        <v>0.5</v>
      </c>
    </row>
    <row r="26" customFormat="false" ht="15" hidden="false" customHeight="false" outlineLevel="0" collapsed="false">
      <c r="A26" s="23" t="s">
        <v>114</v>
      </c>
      <c r="B26" s="33" t="n">
        <v>0.135</v>
      </c>
      <c r="C26" s="20" t="n">
        <v>0</v>
      </c>
      <c r="D26" s="20" t="n">
        <v>1</v>
      </c>
      <c r="E26" s="20" t="n">
        <v>1</v>
      </c>
    </row>
    <row r="28" customFormat="false" ht="15" hidden="false" customHeight="false" outlineLevel="0" collapsed="false">
      <c r="A28" s="4" t="s">
        <v>115</v>
      </c>
    </row>
    <row r="29" customFormat="false" ht="15" hidden="false" customHeight="false" outlineLevel="0" collapsed="false">
      <c r="A29" s="13" t="s">
        <v>90</v>
      </c>
      <c r="B29" s="13" t="s">
        <v>102</v>
      </c>
      <c r="C29" s="13" t="s">
        <v>116</v>
      </c>
      <c r="D29" s="13" t="s">
        <v>117</v>
      </c>
      <c r="E29" s="13" t="s">
        <v>116</v>
      </c>
      <c r="F29" s="13" t="s">
        <v>118</v>
      </c>
      <c r="G29" s="13" t="s">
        <v>116</v>
      </c>
      <c r="H29" s="13" t="s">
        <v>119</v>
      </c>
      <c r="I29" s="13" t="s">
        <v>116</v>
      </c>
    </row>
    <row r="30" customFormat="false" ht="15" hidden="false" customHeight="false" outlineLevel="0" collapsed="false">
      <c r="A30" s="8" t="str">
        <f aca="false">A20</f>
        <v>M1 — scheduling note</v>
      </c>
      <c r="B30" s="19" t="n">
        <f aca="false">$B$13*E20+$C$13*C20+$D$13*D20</f>
        <v>1</v>
      </c>
      <c r="C30" s="17" t="n">
        <f aca="false">RANK(B30,$B$30:$B$32,0)</f>
        <v>3</v>
      </c>
      <c r="D30" s="19" t="n">
        <f aca="false">$B$14*E20+$C$14*C20+$D$14*D20</f>
        <v>0</v>
      </c>
      <c r="E30" s="17" t="n">
        <f aca="false">RANK(D30,$D$30:$D$32,0)</f>
        <v>3</v>
      </c>
      <c r="F30" s="19" t="n">
        <f aca="false">$B$15*E20+$C$15*C20+$D$15*D20</f>
        <v>2</v>
      </c>
      <c r="G30" s="17" t="n">
        <f aca="false">RANK(F30,$F$30:$F$32,0)</f>
        <v>2</v>
      </c>
      <c r="H30" s="19" t="n">
        <f aca="false">$B$16*D7+$C$16*B20+$D$16*F20</f>
        <v>1.910025</v>
      </c>
      <c r="I30" s="17" t="n">
        <f aca="false">RANK(H30,$H$30:$H$32,0)</f>
        <v>2</v>
      </c>
    </row>
    <row r="31" customFormat="false" ht="15" hidden="false" customHeight="false" outlineLevel="0" collapsed="false">
      <c r="A31" s="8" t="str">
        <f aca="false">A21</f>
        <v>M2 — supplier delay</v>
      </c>
      <c r="B31" s="19" t="n">
        <f aca="false">$B$13*E21+$C$13*C21+$D$13*D21</f>
        <v>1.99081554404823</v>
      </c>
      <c r="C31" s="17" t="n">
        <f aca="false">RANK(B31,$B$30:$B$32,0)</f>
        <v>2</v>
      </c>
      <c r="D31" s="19" t="n">
        <f aca="false">$B$14*E21+$C$14*C21+$D$14*D21</f>
        <v>0.5</v>
      </c>
      <c r="E31" s="17" t="n">
        <f aca="false">RANK(D31,$D$30:$D$32,0)</f>
        <v>2</v>
      </c>
      <c r="F31" s="19" t="n">
        <f aca="false">$B$15*E21+$C$15*C21+$D$15*D21</f>
        <v>2.64829775476313</v>
      </c>
      <c r="G31" s="17" t="n">
        <f aca="false">RANK(F31,$F$30:$F$32,0)</f>
        <v>1</v>
      </c>
      <c r="H31" s="19" t="n">
        <f aca="false">$B$16*D8+$C$16*B21+$D$16*F21</f>
        <v>2.2070466008355</v>
      </c>
      <c r="I31" s="17" t="n">
        <f aca="false">RANK(H31,$H$30:$H$32,0)</f>
        <v>1</v>
      </c>
    </row>
    <row r="32" customFormat="false" ht="15" hidden="false" customHeight="false" outlineLevel="0" collapsed="false">
      <c r="A32" s="8" t="str">
        <f aca="false">A22</f>
        <v>M3 — last year's failed installation</v>
      </c>
      <c r="B32" s="19" t="n">
        <f aca="false">$B$13*E22+$C$13*C22+$D$13*D22</f>
        <v>2</v>
      </c>
      <c r="C32" s="17" t="n">
        <f aca="false">RANK(B32,$B$30:$B$32,0)</f>
        <v>1</v>
      </c>
      <c r="D32" s="19" t="n">
        <f aca="false">$B$14*E22+$C$14*C22+$D$14*D22</f>
        <v>1</v>
      </c>
      <c r="E32" s="17" t="n">
        <f aca="false">RANK(D32,$D$30:$D$32,0)</f>
        <v>1</v>
      </c>
      <c r="F32" s="19" t="n">
        <f aca="false">$B$15*E22+$C$15*C22+$D$15*D22</f>
        <v>2</v>
      </c>
      <c r="G32" s="17" t="n">
        <f aca="false">RANK(F32,$F$30:$F$32,0)</f>
        <v>2</v>
      </c>
      <c r="H32" s="19" t="n">
        <f aca="false">$B$16*D9+$C$16*B22+$D$16*F22</f>
        <v>1.83465804292601</v>
      </c>
      <c r="I32" s="17" t="n">
        <f aca="false">RANK(H32,$H$30:$H$32,0)</f>
        <v>3</v>
      </c>
    </row>
    <row r="33" customFormat="false" ht="15" hidden="false" customHeight="false" outlineLevel="0" collapsed="false">
      <c r="A33" s="4" t="s">
        <v>42</v>
      </c>
    </row>
    <row r="34" customFormat="false" ht="15" hidden="false" customHeight="false" outlineLevel="0" collapsed="false">
      <c r="A34" s="23" t="s">
        <v>112</v>
      </c>
      <c r="B34" s="20" t="n">
        <v>1</v>
      </c>
      <c r="D34" s="23" t="s">
        <v>120</v>
      </c>
      <c r="F34" s="20" t="n">
        <v>2</v>
      </c>
    </row>
    <row r="35" customFormat="false" ht="15" hidden="false" customHeight="false" outlineLevel="0" collapsed="false">
      <c r="A35" s="23" t="s">
        <v>113</v>
      </c>
      <c r="B35" s="20" t="n">
        <v>1.99</v>
      </c>
      <c r="D35" s="23" t="s">
        <v>121</v>
      </c>
      <c r="F35" s="20" t="n">
        <v>2.65</v>
      </c>
    </row>
    <row r="36" customFormat="false" ht="15" hidden="false" customHeight="false" outlineLevel="0" collapsed="false">
      <c r="A36" s="23" t="s">
        <v>114</v>
      </c>
      <c r="B36" s="20" t="n">
        <v>2</v>
      </c>
      <c r="D36" s="23" t="s">
        <v>122</v>
      </c>
      <c r="F36" s="20" t="n">
        <v>2</v>
      </c>
    </row>
    <row r="38" customFormat="false" ht="15" hidden="false" customHeight="false" outlineLevel="0" collapsed="false">
      <c r="A38" s="26" t="s">
        <v>123</v>
      </c>
    </row>
    <row r="39" customFormat="false" ht="15" hidden="false" customHeight="false" outlineLevel="0" collapsed="false">
      <c r="A39" s="26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7" t="s">
        <v>125</v>
      </c>
    </row>
    <row r="3" customFormat="false" ht="15" hidden="false" customHeight="false" outlineLevel="0" collapsed="false">
      <c r="A3" s="8" t="s">
        <v>126</v>
      </c>
      <c r="B3" s="9" t="n">
        <v>200</v>
      </c>
    </row>
    <row r="4" customFormat="false" ht="15" hidden="false" customHeight="false" outlineLevel="0" collapsed="false">
      <c r="A4" s="8" t="s">
        <v>127</v>
      </c>
      <c r="B4" s="10" t="n">
        <v>40</v>
      </c>
    </row>
    <row r="5" customFormat="false" ht="15" hidden="false" customHeight="false" outlineLevel="0" collapsed="false">
      <c r="A5" s="8" t="s">
        <v>128</v>
      </c>
      <c r="B5" s="9" t="n">
        <v>1200</v>
      </c>
    </row>
    <row r="6" customFormat="false" ht="15" hidden="false" customHeight="false" outlineLevel="0" collapsed="false">
      <c r="A6" s="8" t="s">
        <v>129</v>
      </c>
      <c r="B6" s="9" t="n">
        <v>100</v>
      </c>
    </row>
    <row r="7" customFormat="false" ht="15" hidden="false" customHeight="false" outlineLevel="0" collapsed="false">
      <c r="A7" s="8" t="s">
        <v>130</v>
      </c>
      <c r="B7" s="31" t="n">
        <v>1</v>
      </c>
    </row>
    <row r="8" customFormat="false" ht="15" hidden="false" customHeight="false" outlineLevel="0" collapsed="false">
      <c r="A8" s="8" t="s">
        <v>131</v>
      </c>
      <c r="B8" s="31" t="n">
        <v>8</v>
      </c>
    </row>
    <row r="9" customFormat="false" ht="15" hidden="false" customHeight="false" outlineLevel="0" collapsed="false">
      <c r="A9" s="8" t="s">
        <v>132</v>
      </c>
      <c r="B9" s="9" t="n">
        <v>50</v>
      </c>
    </row>
    <row r="10" customFormat="false" ht="15" hidden="false" customHeight="false" outlineLevel="0" collapsed="false">
      <c r="A10" s="8" t="s">
        <v>133</v>
      </c>
      <c r="B10" s="9" t="n">
        <v>400</v>
      </c>
    </row>
    <row r="11" customFormat="false" ht="15" hidden="false" customHeight="false" outlineLevel="0" collapsed="false">
      <c r="A11" s="8" t="s">
        <v>134</v>
      </c>
      <c r="B11" s="9" t="n">
        <v>150</v>
      </c>
    </row>
    <row r="12" customFormat="false" ht="15" hidden="false" customHeight="false" outlineLevel="0" collapsed="false">
      <c r="A12" s="8" t="s">
        <v>135</v>
      </c>
      <c r="B12" s="9" t="n">
        <v>1500</v>
      </c>
    </row>
    <row r="13" customFormat="false" ht="15" hidden="false" customHeight="false" outlineLevel="0" collapsed="false">
      <c r="A13" s="8" t="s">
        <v>136</v>
      </c>
      <c r="B13" s="34" t="n">
        <v>0.25</v>
      </c>
    </row>
    <row r="14" customFormat="false" ht="15" hidden="false" customHeight="false" outlineLevel="0" collapsed="false">
      <c r="A14" s="8" t="s">
        <v>137</v>
      </c>
      <c r="B14" s="10" t="n">
        <v>60</v>
      </c>
    </row>
    <row r="15" customFormat="false" ht="15" hidden="false" customHeight="false" outlineLevel="0" collapsed="false">
      <c r="A15" s="8" t="s">
        <v>138</v>
      </c>
      <c r="B15" s="10" t="n">
        <v>4</v>
      </c>
    </row>
    <row r="16" customFormat="false" ht="15" hidden="false" customHeight="false" outlineLevel="0" collapsed="false">
      <c r="A16" s="8" t="s">
        <v>139</v>
      </c>
      <c r="B16" s="9" t="n">
        <v>1024</v>
      </c>
    </row>
    <row r="17" customFormat="false" ht="15" hidden="false" customHeight="false" outlineLevel="0" collapsed="false">
      <c r="A17" s="8" t="s">
        <v>140</v>
      </c>
      <c r="B17" s="10" t="n">
        <v>1</v>
      </c>
    </row>
    <row r="18" customFormat="false" ht="15" hidden="false" customHeight="false" outlineLevel="0" collapsed="false">
      <c r="A18" s="8" t="s">
        <v>141</v>
      </c>
      <c r="B18" s="10" t="n">
        <v>365</v>
      </c>
    </row>
    <row r="20" customFormat="false" ht="15" hidden="false" customHeight="false" outlineLevel="0" collapsed="false">
      <c r="A20" s="4" t="s">
        <v>142</v>
      </c>
    </row>
    <row r="21" customFormat="false" ht="15" hidden="false" customHeight="false" outlineLevel="0" collapsed="false">
      <c r="A21" s="8" t="s">
        <v>143</v>
      </c>
      <c r="B21" s="9" t="n">
        <v>790</v>
      </c>
    </row>
    <row r="22" customFormat="false" ht="15" hidden="false" customHeight="false" outlineLevel="0" collapsed="false">
      <c r="A22" s="8" t="s">
        <v>144</v>
      </c>
      <c r="B22" s="9" t="n">
        <v>15</v>
      </c>
    </row>
    <row r="23" customFormat="false" ht="15" hidden="false" customHeight="false" outlineLevel="0" collapsed="false">
      <c r="A23" s="8" t="s">
        <v>145</v>
      </c>
      <c r="B23" s="9" t="n">
        <v>4000</v>
      </c>
    </row>
    <row r="24" customFormat="false" ht="15" hidden="false" customHeight="false" outlineLevel="0" collapsed="false">
      <c r="A24" s="8" t="s">
        <v>146</v>
      </c>
      <c r="B24" s="9" t="n">
        <v>130</v>
      </c>
    </row>
    <row r="26" customFormat="false" ht="15" hidden="false" customHeight="false" outlineLevel="0" collapsed="false">
      <c r="A26" s="13" t="s">
        <v>40</v>
      </c>
      <c r="B26" s="13" t="s">
        <v>41</v>
      </c>
      <c r="C26" s="13" t="s">
        <v>42</v>
      </c>
    </row>
    <row r="27" customFormat="false" ht="15" hidden="false" customHeight="false" outlineLevel="0" collapsed="false">
      <c r="A27" s="14" t="s">
        <v>147</v>
      </c>
      <c r="B27" s="15" t="n">
        <f aca="false">$B$3*$B$4</f>
        <v>8000</v>
      </c>
      <c r="C27" s="16" t="n">
        <v>8000</v>
      </c>
    </row>
    <row r="28" customFormat="false" ht="15" hidden="false" customHeight="false" outlineLevel="0" collapsed="false">
      <c r="A28" s="14" t="s">
        <v>148</v>
      </c>
      <c r="B28" s="21" t="n">
        <f aca="false">$B$27*$B$5*$B$7/1000000</f>
        <v>9.6</v>
      </c>
      <c r="C28" s="22" t="n">
        <v>9.6</v>
      </c>
    </row>
    <row r="29" customFormat="false" ht="15" hidden="false" customHeight="false" outlineLevel="0" collapsed="false">
      <c r="A29" s="14" t="s">
        <v>149</v>
      </c>
      <c r="B29" s="21" t="n">
        <f aca="false">$B$27*$B$6/1000000</f>
        <v>0.8</v>
      </c>
      <c r="C29" s="22" t="n">
        <v>0.8</v>
      </c>
    </row>
    <row r="30" customFormat="false" ht="15" hidden="false" customHeight="false" outlineLevel="0" collapsed="false">
      <c r="A30" s="14" t="s">
        <v>150</v>
      </c>
      <c r="B30" s="35" t="n">
        <f aca="false">$B$28*1000000*2*$B$8*1000000000</f>
        <v>1.536E+017</v>
      </c>
      <c r="C30" s="36" t="n">
        <v>1.5E+017</v>
      </c>
    </row>
    <row r="31" customFormat="false" ht="15" hidden="false" customHeight="false" outlineLevel="0" collapsed="false">
      <c r="A31" s="14" t="s">
        <v>151</v>
      </c>
      <c r="B31" s="17" t="n">
        <f aca="false">$B$30/($B$9*10^12)/60</f>
        <v>51.2</v>
      </c>
      <c r="C31" s="18" t="n">
        <v>51</v>
      </c>
    </row>
    <row r="32" customFormat="false" ht="15" hidden="false" customHeight="false" outlineLevel="0" collapsed="false">
      <c r="A32" s="14" t="s">
        <v>152</v>
      </c>
      <c r="B32" s="21" t="n">
        <f aca="false">$B$30/($B$10*10^12)/60</f>
        <v>6.4</v>
      </c>
      <c r="C32" s="22" t="n">
        <v>6</v>
      </c>
    </row>
    <row r="33" customFormat="false" ht="15" hidden="false" customHeight="false" outlineLevel="0" collapsed="false">
      <c r="A33" s="14" t="s">
        <v>153</v>
      </c>
      <c r="B33" s="17" t="n">
        <f aca="false">$B$30/($B$11*10^12)/60</f>
        <v>17.0666666666667</v>
      </c>
      <c r="C33" s="18" t="n">
        <v>17</v>
      </c>
    </row>
    <row r="34" customFormat="false" ht="15" hidden="false" customHeight="false" outlineLevel="0" collapsed="false">
      <c r="A34" s="14" t="s">
        <v>154</v>
      </c>
      <c r="B34" s="21" t="n">
        <f aca="false">$B$29*1000000/$B$12/60</f>
        <v>8.88888888888889</v>
      </c>
      <c r="C34" s="22" t="n">
        <v>9</v>
      </c>
    </row>
    <row r="35" customFormat="false" ht="15" hidden="false" customHeight="false" outlineLevel="0" collapsed="false">
      <c r="A35" s="14" t="s">
        <v>155</v>
      </c>
      <c r="B35" s="15" t="n">
        <f aca="false">$B$27*$B$13</f>
        <v>2000</v>
      </c>
      <c r="C35" s="16" t="n">
        <v>2000</v>
      </c>
    </row>
    <row r="36" customFormat="false" ht="15" hidden="false" customHeight="false" outlineLevel="0" collapsed="false">
      <c r="A36" s="14" t="s">
        <v>156</v>
      </c>
      <c r="B36" s="21" t="n">
        <f aca="false">$B$35*($B$14*$B$15+$B$16*$B$17)/1000000</f>
        <v>2.528</v>
      </c>
      <c r="C36" s="18" t="n">
        <v>3</v>
      </c>
    </row>
    <row r="37" customFormat="false" ht="15" hidden="false" customHeight="false" outlineLevel="0" collapsed="false">
      <c r="A37" s="14" t="s">
        <v>157</v>
      </c>
      <c r="B37" s="21" t="n">
        <f aca="false">$B$36*$B$18/1000</f>
        <v>0.92272</v>
      </c>
      <c r="C37" s="18" t="n">
        <v>1</v>
      </c>
    </row>
    <row r="38" customFormat="false" ht="15" hidden="false" customHeight="false" outlineLevel="0" collapsed="false">
      <c r="A38" s="14" t="s">
        <v>158</v>
      </c>
      <c r="B38" s="21" t="n">
        <f aca="false">$B$4*($B$5*$B$7/$B$21+$B$6/$B$22)/60</f>
        <v>5.45710267229255</v>
      </c>
      <c r="C38" s="18" t="n">
        <v>6</v>
      </c>
    </row>
    <row r="39" customFormat="false" ht="15" hidden="false" customHeight="false" outlineLevel="0" collapsed="false">
      <c r="A39" s="14" t="s">
        <v>159</v>
      </c>
      <c r="B39" s="17" t="n">
        <f aca="false">$B$4*($B$5*$B$7/$B$23+$B$6/$B$24)</f>
        <v>42.7692307692308</v>
      </c>
      <c r="C39" s="23" t="s">
        <v>160</v>
      </c>
    </row>
    <row r="41" customFormat="false" ht="15" hidden="false" customHeight="false" outlineLevel="0" collapsed="false">
      <c r="A41" s="26" t="s">
        <v>161</v>
      </c>
    </row>
    <row r="42" customFormat="false" ht="15" hidden="false" customHeight="false" outlineLevel="0" collapsed="false">
      <c r="A42" s="26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2026-10-26T14:23:35Z</dcterms:created>
  <dc:creator>openpyxl</dc:creator>
  <dc:description/>
  <dc:language>en-US</dc:language>
  <cp:lastModifiedBy/>
  <dcterms:modified xsi:type="dcterms:W3CDTF">2026-10-26T14:23:36Z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