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Token Cost" sheetId="2" state="visible" r:id="rId4"/>
    <sheet name="Owned TCO" sheetId="3" state="visible" r:id="rId5"/>
    <sheet name="Break-even" sheetId="4" state="visible" r:id="rId6"/>
    <sheet name="Availability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<sst xmlns="http://schemas.openxmlformats.org/spreadsheetml/2006/main" count="337" uniqueCount="290">
  <si>
    <t xml:space="preserve">Chapter 29 — Deployment Patterns and Economics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</si>
  <si>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</si>
  <si>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</si>
  <si>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</si>
  <si>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</si>
  <si>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Token Cost</t>
  </si>
  <si>
    <t xml:space="preserve">Blended API prices for an 8:1 workload, cached and batch prices, and the cost per million tokens of rented or owned GPUs at two utilizations.</t>
  </si>
  <si>
    <t xml:space="preserve">Section 29.2, Table 29.1, Worked Example 29.1</t>
  </si>
  <si>
    <t xml:space="preserve">Owned TCO</t>
  </si>
  <si>
    <t xml:space="preserve">Hourly cost of an owned eight-GPU H200 server: depreciation, electricity or colocation, maintenance and staff; utilization and cost of capital.</t>
  </si>
  <si>
    <t xml:space="preserve">Section 29.3, Worked Example 29.2, Figure 29.2</t>
  </si>
  <si>
    <t xml:space="preserve">Break-even</t>
  </si>
  <si>
    <t xml:space="preserve">A 2,000-user assistant on frontier, managed and owned options; the break-even volumes of Section 29.4; the Box per person.</t>
  </si>
  <si>
    <t xml:space="preserve">Section 29.4, Worked Example 29.3, Figure 29.3</t>
  </si>
  <si>
    <t xml:space="preserve">Availability</t>
  </si>
  <si>
    <t xml:space="preserve">Downtime allowed by an SLA and the floor reached by two independent providers with failover.</t>
  </si>
  <si>
    <t xml:space="preserve">Section 29.6, Worked Example 29.4</t>
  </si>
  <si>
    <t xml:space="preserve">Notes</t>
  </si>
  <si>
    <t xml:space="preserve">Prices are US list or published prices as of October 2026 (Table 29.1), before taxes, network, storage and the cost of capital unless stated.</t>
  </si>
  <si>
    <t xml:space="preserve">Throughput (8,000 tokens/s per H200, 2,700 per RTX PRO 6000 Server Edition) is an estimate from published benchmarks: replace it with the measured goodput of Section 16.6.</t>
  </si>
  <si>
    <t xml:space="preserve">A month is 730 hours; a year 8,760 hours.</t>
  </si>
  <si>
    <t xml:space="preserve">What a Million Tokens of gpt-oss-120b Costs, Four Ways (Worked Example 29.1)</t>
  </si>
  <si>
    <t xml:space="preserve">Workload and API prices (Table 29.1)</t>
  </si>
  <si>
    <t xml:space="preserve">Value</t>
  </si>
  <si>
    <t xml:space="preserve">Input tokens per output token</t>
  </si>
  <si>
    <t xml:space="preserve">Output tokens (per the ratio above)</t>
  </si>
  <si>
    <t xml:space="preserve">Managed gpt-oss-120b, input (US$ per million tokens)</t>
  </si>
  <si>
    <t xml:space="preserve">Managed gpt-oss-120b, output (US$ per million tokens)</t>
  </si>
  <si>
    <t xml:space="preserve">Cheapest managed gpt-oss-120b (DeepInfra), input (US$/M)</t>
  </si>
  <si>
    <t xml:space="preserve">Cheapest managed gpt-oss-120b (DeepInfra), output (US$/M)</t>
  </si>
  <si>
    <t xml:space="preserve">Frontier API, mid tier, input (US$/M)</t>
  </si>
  <si>
    <t xml:space="preserve">Frontier API, mid tier, output (US$/M)</t>
  </si>
  <si>
    <t xml:space="preserve">Frontier API, low tier, input (US$/M)</t>
  </si>
  <si>
    <t xml:space="preserve">Frontier API, low tier, output (US$/M)</t>
  </si>
  <si>
    <t xml:space="preserve">Hardware</t>
  </si>
  <si>
    <t xml:space="preserve">Throughput of one H200 serving gpt-oss-120b (tokens/s, input + output)</t>
  </si>
  <si>
    <t xml:space="preserve">Alternative, production throughput (tokens/s)</t>
  </si>
  <si>
    <t xml:space="preserve">AWS p5en on demand, 8 × H200 (US$ per hour)</t>
  </si>
  <si>
    <t xml:space="preserve">GPUs in the AWS instance</t>
  </si>
  <si>
    <t xml:space="preserve">Neocloud H200 on demand, mid-range (US$ per GPU-hour)</t>
  </si>
  <si>
    <t xml:space="preserve">Neocloud H200 on demand, lowest listed (US$ per GPU-hour)</t>
  </si>
  <si>
    <t xml:space="preserve">Utilization, case 1</t>
  </si>
  <si>
    <t xml:space="preserve">Utilization, case 2</t>
  </si>
  <si>
    <t xml:space="preserve">SemiAnalysis ownership cost at hyperscale, H200 (US$ per GPU-hour)</t>
  </si>
  <si>
    <t xml:space="preserve">SemiAnalysis cost per million tokens, low (US$)</t>
  </si>
  <si>
    <t xml:space="preserve">SemiAnalysis cost per million tokens, high (US$)</t>
  </si>
  <si>
    <t xml:space="preserve">Discounts (Section 29.2)</t>
  </si>
  <si>
    <t xml:space="preserve">Input tokens per request</t>
  </si>
  <si>
    <t xml:space="preserve">Output tokens per request</t>
  </si>
  <si>
    <t xml:space="preserve">Shared prefix billed as cached input (tokens)</t>
  </si>
  <si>
    <t xml:space="preserve">Cached input price ÷ input price (Table 22.2)</t>
  </si>
  <si>
    <t xml:space="preserve">Batch price ÷ list price (Table 27.4)</t>
  </si>
  <si>
    <t xml:space="preserve">Blended prices (US$ per million tokens)</t>
  </si>
  <si>
    <t xml:space="preserve">Workbook</t>
  </si>
  <si>
    <t xml:space="preserve">Value in the book</t>
  </si>
  <si>
    <t xml:space="preserve">Managed gpt-oss-120b</t>
  </si>
  <si>
    <t xml:space="preserve">0.20</t>
  </si>
  <si>
    <t xml:space="preserve">Frontier, mid tier</t>
  </si>
  <si>
    <t xml:space="preserve">2.89</t>
  </si>
  <si>
    <t xml:space="preserve">Frontier, low tier</t>
  </si>
  <si>
    <t xml:space="preserve">0.14</t>
  </si>
  <si>
    <t xml:space="preserve">Cheapest managed gpt-oss-120b</t>
  </si>
  <si>
    <t xml:space="preserve">about 0.05</t>
  </si>
  <si>
    <t xml:space="preserve">Frontier, mid tier, with the shared prefix cached</t>
  </si>
  <si>
    <t xml:space="preserve">2.49</t>
  </si>
  <si>
    <t xml:space="preserve">Frontier, mid tier, batch interface</t>
  </si>
  <si>
    <t xml:space="preserve">1.44</t>
  </si>
  <si>
    <t xml:space="preserve">Hardware (US$ per million tokens)</t>
  </si>
  <si>
    <t xml:space="preserve">Tokens per GPU-hour (millions)</t>
  </si>
  <si>
    <t xml:space="preserve">28.8</t>
  </si>
  <si>
    <t xml:space="preserve">AWS price per GPU-hour (US$)</t>
  </si>
  <si>
    <t xml:space="preserve">7.91</t>
  </si>
  <si>
    <t xml:space="preserve">Owned H200, three years (US$ per GPU-hour; Owned TCO sheet)</t>
  </si>
  <si>
    <t xml:space="preserve">2.90</t>
  </si>
  <si>
    <t xml:space="preserve">Option</t>
  </si>
  <si>
    <t xml:space="preserve">US$ per GPU-hour</t>
  </si>
  <si>
    <t xml:space="preserve">Value in the book (case 1; case 2)</t>
  </si>
  <si>
    <t xml:space="preserve">Rented on AWS on demand</t>
  </si>
  <si>
    <t xml:space="preserve">0.27; 0.55</t>
  </si>
  <si>
    <t xml:space="preserve">Rented from a neocloud, mid-range</t>
  </si>
  <si>
    <t xml:space="preserve">0.16; 0.31</t>
  </si>
  <si>
    <t xml:space="preserve">Rented from a neocloud, lowest listed</t>
  </si>
  <si>
    <t xml:space="preserve">0.09; 0.19</t>
  </si>
  <si>
    <t xml:space="preserve">Owned (Worked Example 29.2)</t>
  </si>
  <si>
    <t xml:space="preserve">0.10; 0.20</t>
  </si>
  <si>
    <t xml:space="preserve">Checks on the assumptions</t>
  </si>
  <si>
    <t xml:space="preserve">Throughput implied by SemiAnalysis, at the high cost (tokens/s)</t>
  </si>
  <si>
    <t xml:space="preserve">6,800</t>
  </si>
  <si>
    <t xml:space="preserve">Throughput implied by SemiAnalysis, at the low cost (tokens/s)</t>
  </si>
  <si>
    <t xml:space="preserve">11,300</t>
  </si>
  <si>
    <t xml:space="preserve">Hardware cost multiplier at the production throughput</t>
  </si>
  <si>
    <t xml:space="preserve">doubles</t>
  </si>
  <si>
    <t xml:space="preserve">Cost per million tokens = hourly cost × 10⁶ ÷ (3,600 × throughput × utilization). Throughput is total tokens (input + output) processed per second at the latency targets — the goodput of Section 16.6 in tokens — not the rate at saturation.</t>
  </si>
  <si>
    <t xml:space="preserve">Reasoning tokens are billed as output and consume decode capacity on owned hardware: count them in the output tokens for both options.</t>
  </si>
  <si>
    <t xml:space="preserve">Reading: renting GPUs to run a popular open model beats a managed API for the same model only at low rental prices and high utilization; even owned and fully used, it does not beat the cheapest managed price.</t>
  </si>
  <si>
    <t xml:space="preserve">The Hourly Cost of an Owned Eight-GPU H200 Server (Worked Example 29.2)</t>
  </si>
  <si>
    <t xml:space="preserve">Inputs</t>
  </si>
  <si>
    <t xml:space="preserve">Purchase price (US$; Table 29.1)</t>
  </si>
  <si>
    <t xml:space="preserve">GPUs in the server</t>
  </si>
  <si>
    <t xml:space="preserve">IT load at full use (kW)</t>
  </si>
  <si>
    <t xml:space="preserve">PUE (Uptime Institute 2025 average)</t>
  </si>
  <si>
    <t xml:space="preserve">Electricity (US$ per kWh; EIA, July 2026)</t>
  </si>
  <si>
    <t xml:space="preserve">Maintenance and support (share of the purchase price per year)</t>
  </si>
  <si>
    <t xml:space="preserve">Engineers per server</t>
  </si>
  <si>
    <t xml:space="preserve">Loaded cost of an engineer (US$ per year)</t>
  </si>
  <si>
    <t xml:space="preserve">Depreciation life, short case (years)</t>
  </si>
  <si>
    <t xml:space="preserve">Depreciation life, long case (years)</t>
  </si>
  <si>
    <t xml:space="preserve">Hours per year</t>
  </si>
  <si>
    <t xml:space="preserve">Hours per month</t>
  </si>
  <si>
    <t xml:space="preserve">Utilization, case A</t>
  </si>
  <si>
    <t xml:space="preserve">Utilization, case B</t>
  </si>
  <si>
    <t xml:space="preserve">Colocation, space and cooling (US$ per kW of IT load per month; CBRE)</t>
  </si>
  <si>
    <t xml:space="preserve">Alternative purchase price (US$)</t>
  </si>
  <si>
    <t xml:space="preserve">Cost of capital (per year)</t>
  </si>
  <si>
    <t xml:space="preserve">AWS on demand (US$ per GPU-hour; Token Cost sheet)</t>
  </si>
  <si>
    <t xml:space="preserve">Neocloud, mid-range (US$ per GPU-hour; Token Cost sheet)</t>
  </si>
  <si>
    <t xml:space="preserve">Hourly cost of the server (US$ per hour)</t>
  </si>
  <si>
    <t xml:space="preserve">Depreciation, short life</t>
  </si>
  <si>
    <t xml:space="preserve">12.18</t>
  </si>
  <si>
    <t xml:space="preserve">Depreciation, long life</t>
  </si>
  <si>
    <t xml:space="preserve">7.31</t>
  </si>
  <si>
    <t xml:space="preserve">Electricity</t>
  </si>
  <si>
    <t xml:space="preserve">2.24</t>
  </si>
  <si>
    <t xml:space="preserve">Maintenance</t>
  </si>
  <si>
    <t xml:space="preserve">3.65</t>
  </si>
  <si>
    <t xml:space="preserve">Staff</t>
  </si>
  <si>
    <t xml:space="preserve">5.14</t>
  </si>
  <si>
    <t xml:space="preserve">Total, short life</t>
  </si>
  <si>
    <t xml:space="preserve">23.21</t>
  </si>
  <si>
    <t xml:space="preserve">Total, long life</t>
  </si>
  <si>
    <t xml:space="preserve">18.34</t>
  </si>
  <si>
    <t xml:space="preserve">Per GPU-hour, short life</t>
  </si>
  <si>
    <t xml:space="preserve">Per GPU-hour, long life</t>
  </si>
  <si>
    <t xml:space="preserve">2.29</t>
  </si>
  <si>
    <t xml:space="preserve">Per month, short life (US$)</t>
  </si>
  <si>
    <t xml:space="preserve">about 16,900</t>
  </si>
  <si>
    <t xml:space="preserve">Utilization (US$ per busy GPU-hour, short life)</t>
  </si>
  <si>
    <t xml:space="preserve">At utilization A</t>
  </si>
  <si>
    <t xml:space="preserve">5.80</t>
  </si>
  <si>
    <t xml:space="preserve">At utilization B</t>
  </si>
  <si>
    <t xml:space="preserve">11.60</t>
  </si>
  <si>
    <t xml:space="preserve">Utilization B costs more than AWS on demand?</t>
  </si>
  <si>
    <t xml:space="preserve">yes</t>
  </si>
  <si>
    <t xml:space="preserve">Utilization at which owned equals AWS on demand</t>
  </si>
  <si>
    <t xml:space="preserve">about 40% (Section 29.8)</t>
  </si>
  <si>
    <t xml:space="preserve">Utilization at which owned equals the mid-range neocloud</t>
  </si>
  <si>
    <t xml:space="preserve">about 65%</t>
  </si>
  <si>
    <t xml:space="preserve">Variants and shares</t>
  </si>
  <si>
    <t xml:space="preserve">Colocation: space and cooling (US$ per hour)</t>
  </si>
  <si>
    <t xml:space="preserve">about 2.70</t>
  </si>
  <si>
    <t xml:space="preserve">Colocation: IT power billed on top (US$ per hour)</t>
  </si>
  <si>
    <t xml:space="preserve">about 1.45</t>
  </si>
  <si>
    <t xml:space="preserve">Colocation: total, short life (US$ per hour)</t>
  </si>
  <si>
    <t xml:space="preserve">about 25.10</t>
  </si>
  <si>
    <t xml:space="preserve">Colocation: per GPU-hour, short life</t>
  </si>
  <si>
    <t xml:space="preserve">3.14</t>
  </si>
  <si>
    <t xml:space="preserve">At the alternative price: per GPU-hour, short life</t>
  </si>
  <si>
    <t xml:space="preserve">about 3.40</t>
  </si>
  <si>
    <t xml:space="preserve">Cost of capital, level payments over the short life (US$ per GPU-hour)</t>
  </si>
  <si>
    <t xml:space="preserve">about 0.25</t>
  </si>
  <si>
    <t xml:space="preserve">Staff and maintenance as a share of the total</t>
  </si>
  <si>
    <t xml:space="preserve">more than a third</t>
  </si>
  <si>
    <t xml:space="preserve">Staff as a share of the total</t>
  </si>
  <si>
    <t xml:space="preserve">a fifth</t>
  </si>
  <si>
    <t xml:space="preserve">Owned per GPU-hour ÷ AWS on demand</t>
  </si>
  <si>
    <t xml:space="preserve">just over a third</t>
  </si>
  <si>
    <t xml:space="preserve">Saving per hour from the long life</t>
  </si>
  <si>
    <t xml:space="preserve">about a fifth (Section 29.4)</t>
  </si>
  <si>
    <t xml:space="preserve">Network, storage, software licenses and the cost of capital are excluded from the totals. The cost of capital is the extra over straight-line depreciation of level annual payments at the stated rate (PMT).</t>
  </si>
  <si>
    <t xml:space="preserve">Colocation replaces the electricity line: space and cooling are billed per kW of IT load, and IT power is often billed on top at the electricity price, without the PUE.</t>
  </si>
  <si>
    <t xml:space="preserve">Reading: the owned server costs just over a third of the hyperscaler's on-demand price at full use, but its cost per busy GPU-hour doubles at 50% utilization; staff and maintenance are more than a third of the total.</t>
  </si>
  <si>
    <t xml:space="preserve">A Corporate Assistant for 2,000 Engineers (Worked Example 29.3)</t>
  </si>
  <si>
    <t xml:space="preserve">Workload</t>
  </si>
  <si>
    <t xml:space="preserve">Requests per person per working day</t>
  </si>
  <si>
    <t xml:space="preserve">Working days per month</t>
  </si>
  <si>
    <t xml:space="preserve">Working hours per day (Figure 30.3)</t>
  </si>
  <si>
    <t xml:space="preserve">Share of the day's tokens in the busiest hour (Worked Example 30.3)</t>
  </si>
  <si>
    <t xml:space="preserve">Hybrid: share of requests sent to the mid-tier API</t>
  </si>
  <si>
    <t xml:space="preserve">Owned hardware</t>
  </si>
  <si>
    <t xml:space="preserve">H200 node: GPUs</t>
  </si>
  <si>
    <t xml:space="preserve">Entry node, 8 × RTX PRO 6000 Server Edition: price (US$; Table A.1)</t>
  </si>
  <si>
    <t xml:space="preserve">Entry node: power (kW; Worked Example 15.3)</t>
  </si>
  <si>
    <t xml:space="preserve">Entry node: GPUs</t>
  </si>
  <si>
    <t xml:space="preserve">Entry node: throughput per GPU (tokens/s; Worked Example 30.3)</t>
  </si>
  <si>
    <t xml:space="preserve">Planning limit at the busiest hour (Section 30.6)</t>
  </si>
  <si>
    <t xml:space="preserve">CPU nodes, storage and network (US$ per month; Worked Example 35.3)</t>
  </si>
  <si>
    <t xml:space="preserve">Volume</t>
  </si>
  <si>
    <t xml:space="preserve">Tokens per month (billions)</t>
  </si>
  <si>
    <t xml:space="preserve">15.8</t>
  </si>
  <si>
    <t xml:space="preserve">Input tokens per month (billions)</t>
  </si>
  <si>
    <t xml:space="preserve">14.1</t>
  </si>
  <si>
    <t xml:space="preserve">Output tokens per month (billions)</t>
  </si>
  <si>
    <t xml:space="preserve">1.76</t>
  </si>
  <si>
    <t xml:space="preserve">Average over the working hours (tokens/s)</t>
  </si>
  <si>
    <t xml:space="preserve">about 20,000</t>
  </si>
  <si>
    <t xml:space="preserve">Busiest hour (tokens/s)</t>
  </si>
  <si>
    <t xml:space="preserve">about 28,000</t>
  </si>
  <si>
    <t xml:space="preserve">All on an API (US$ per month)</t>
  </si>
  <si>
    <t xml:space="preserve">Mid-tier frontier API</t>
  </si>
  <si>
    <t xml:space="preserve">45,800</t>
  </si>
  <si>
    <t xml:space="preserve">  per person</t>
  </si>
  <si>
    <t xml:space="preserve">22.90</t>
  </si>
  <si>
    <t xml:space="preserve">3,200</t>
  </si>
  <si>
    <t xml:space="preserve">Managed gpt-oss-120b, cheapest provider</t>
  </si>
  <si>
    <t xml:space="preserve">under 1,000</t>
  </si>
  <si>
    <t xml:space="preserve">Low-tier frontier API</t>
  </si>
  <si>
    <t xml:space="preserve">2,300</t>
  </si>
  <si>
    <t xml:space="preserve">On an owned 8 × H200 node</t>
  </si>
  <si>
    <t xml:space="preserve">Cost per month (US$; Owned TCO sheet)</t>
  </si>
  <si>
    <t xml:space="preserve">16,900</t>
  </si>
  <si>
    <t xml:space="preserve">Capacity at 100% (billion tokens per month)</t>
  </si>
  <si>
    <t xml:space="preserve">168</t>
  </si>
  <si>
    <t xml:space="preserve">Utilization averaged over the month</t>
  </si>
  <si>
    <t xml:space="preserve">9%</t>
  </si>
  <si>
    <t xml:space="preserve">Utilization during working hours</t>
  </si>
  <si>
    <t xml:space="preserve">about 30%</t>
  </si>
  <si>
    <t xml:space="preserve">On owned entry nodes (US$ per hour per node unless stated)</t>
  </si>
  <si>
    <t xml:space="preserve">Depreciation</t>
  </si>
  <si>
    <t xml:space="preserve">9.51</t>
  </si>
  <si>
    <t xml:space="preserve">1.41</t>
  </si>
  <si>
    <t xml:space="preserve">2.85</t>
  </si>
  <si>
    <t xml:space="preserve">Cost per node per month (US$)</t>
  </si>
  <si>
    <t xml:space="preserve">≈ 13,800</t>
  </si>
  <si>
    <t xml:space="preserve">Throughput per node (tokens/s)</t>
  </si>
  <si>
    <t xml:space="preserve">about 21,600</t>
  </si>
  <si>
    <t xml:space="preserve">Nodes needed for the busiest hour at the planning limit</t>
  </si>
  <si>
    <t xml:space="preserve">two</t>
  </si>
  <si>
    <t xml:space="preserve">Rack cost per month, with CPU nodes, storage and network (US$)</t>
  </si>
  <si>
    <t xml:space="preserve">≈ 33,600</t>
  </si>
  <si>
    <t xml:space="preserve">16.80</t>
  </si>
  <si>
    <t xml:space="preserve">Hybrid: Rack plus mid-tier API</t>
  </si>
  <si>
    <t xml:space="preserve">Mid-tier API for the frontier share (US$ per month)</t>
  </si>
  <si>
    <t xml:space="preserve">4,600</t>
  </si>
  <si>
    <t xml:space="preserve">Hybrid total (US$ per month)</t>
  </si>
  <si>
    <t xml:space="preserve">≈ 38,200</t>
  </si>
  <si>
    <t xml:space="preserve">19.10</t>
  </si>
  <si>
    <t xml:space="preserve">Rack utilization in the busiest hour</t>
  </si>
  <si>
    <t xml:space="preserve">about 58%</t>
  </si>
  <si>
    <t xml:space="preserve">Hybrid ÷ all on the mid-tier API</t>
  </si>
  <si>
    <t xml:space="preserve">about 83%</t>
  </si>
  <si>
    <t xml:space="preserve">Tokens the Rack's monthly cost buys from the mid-tier API (billions)</t>
  </si>
  <si>
    <t xml:space="preserve">about 11.6</t>
  </si>
  <si>
    <t xml:space="preserve">Share of tokens the Rack must serve to cost less than the API</t>
  </si>
  <si>
    <t xml:space="preserve">about three-quarters</t>
  </si>
  <si>
    <t xml:space="preserve">Break-even volume against an owned H200 node (Section 29.4)</t>
  </si>
  <si>
    <t xml:space="preserve">Against the mid-tier frontier API (billion tokens per month)</t>
  </si>
  <si>
    <t xml:space="preserve">about 6</t>
  </si>
  <si>
    <t xml:space="preserve">Against managed gpt-oss-120b (billion tokens per month)</t>
  </si>
  <si>
    <t xml:space="preserve">about 85</t>
  </si>
  <si>
    <t xml:space="preserve">  as a share of the node's capacity</t>
  </si>
  <si>
    <t xml:space="preserve">half</t>
  </si>
  <si>
    <t xml:space="preserve">Against the low-tier frontier API (billion tokens per month)</t>
  </si>
  <si>
    <t xml:space="preserve">about 117</t>
  </si>
  <si>
    <t xml:space="preserve">70%</t>
  </si>
  <si>
    <t xml:space="preserve">The Box per person (Section 29.4)</t>
  </si>
  <si>
    <t xml:space="preserve">Recommended Box: price (US$; Table A.1)</t>
  </si>
  <si>
    <t xml:space="preserve">Months of use</t>
  </si>
  <si>
    <t xml:space="preserve">Box cost per month (US$)</t>
  </si>
  <si>
    <t xml:space="preserve">190</t>
  </si>
  <si>
    <t xml:space="preserve">Tokens per engineer per month (millions)</t>
  </si>
  <si>
    <t xml:space="preserve">7.9</t>
  </si>
  <si>
    <t xml:space="preserve">Engineer on the mid-tier API (US$ per month)</t>
  </si>
  <si>
    <t xml:space="preserve">23</t>
  </si>
  <si>
    <t xml:space="preserve">Engineer on managed gpt-oss-120b (US$ per month)</t>
  </si>
  <si>
    <t xml:space="preserve">under 2</t>
  </si>
  <si>
    <t xml:space="preserve">Box break-even against the mid-tier API (million tokens per month)</t>
  </si>
  <si>
    <t xml:space="preserve">near 65</t>
  </si>
  <si>
    <t xml:space="preserve">  as a multiple of the engineer's volume</t>
  </si>
  <si>
    <t xml:space="preserve">about eight</t>
  </si>
  <si>
    <t xml:space="preserve">Nodes are sized for the busiest hour at the planning limit; the book states two entry nodes. Rack costs include power, maintenance and a quarter of an engineer per node, plus CPU nodes, storage and network; not the desk GPUs, software support, other staff or the cost of capital.</t>
  </si>
  <si>
    <t xml:space="preserve">Break-even volumes compare one owned H200 node (Owned TCO sheet, three-year life) with each API at the blended price of the Token Cost sheet; the comparison is valid only if the open model passes the same evaluation.</t>
  </si>
  <si>
    <t xml:space="preserve">Reading: when the data may leave, the cheapest option that passes the evaluation wins; when it may not, owned hardware is required anyway, and the hybrid costs about 83% of the all-frontier design only because the Rack carries 90% of the work.</t>
  </si>
  <si>
    <t xml:space="preserve">How Much Downtime an SLA Allows, and What a Fallback Buys (Worked Example 29.4)</t>
  </si>
  <si>
    <t xml:space="preserve">SLA of one provider, case 1</t>
  </si>
  <si>
    <t xml:space="preserve">SLA of one provider, case 2</t>
  </si>
  <si>
    <t xml:space="preserve">Provider 1 availability (failover pair)</t>
  </si>
  <si>
    <t xml:space="preserve">Provider 2 availability (failover pair)</t>
  </si>
  <si>
    <t xml:space="preserve">Results</t>
  </si>
  <si>
    <t xml:space="preserve">Permitted downtime at SLA case 1 (hours per month)</t>
  </si>
  <si>
    <t xml:space="preserve">0.73</t>
  </si>
  <si>
    <t xml:space="preserve">  in minutes</t>
  </si>
  <si>
    <t xml:space="preserve">≈ 44</t>
  </si>
  <si>
    <t xml:space="preserve">Permitted downtime at SLA case 2 (hours per month)</t>
  </si>
  <si>
    <t xml:space="preserve">Unavailability of the failover pair (both down)</t>
  </si>
  <si>
    <t xml:space="preserve">0.0025%</t>
  </si>
  <si>
    <t xml:space="preserve">  in minutes per month</t>
  </si>
  <si>
    <t xml:space="preserve">≈ 1.1</t>
  </si>
  <si>
    <t xml:space="preserve">Availability of the failover pair</t>
  </si>
  <si>
    <t xml:space="preserve">A theoretical floor: it assumes independent failures and instant failover. SLA percentages are thresholds for service credits, not predictions; providers in the same region or behind the same gateway fail together.</t>
  </si>
  <si>
    <t xml:space="preserve">Reading: independence must be engineered — different providers, regions and network paths — and a local Box or Rack model removes the dependency for data that never leaves the premises.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</si>
</sst>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0"/>
    <numFmt numFmtId="167" formatCode="0.00"/>
    <numFmt numFmtId="168" formatCode="#,##0"/>
    <numFmt numFmtId="169" formatCode="0%"/>
    <numFmt numFmtId="170" formatCode="0.0"/>
    <numFmt numFmtId="171" formatCode="0.0000"/>
    <numFmt numFmtId="172" formatCode="0.0%"/>
    <numFmt numFmtId="173" formatCode="0.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0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30" hidden="false" customHeight="true" outlineLevel="0" collapsed="false">
      <c r="A7" s="4" t="s">
        <v>11</v>
      </c>
      <c r="B7" s="5" t="s">
        <v>12</v>
      </c>
      <c r="C7" s="5" t="s">
        <v>13</v>
      </c>
    </row>
    <row r="8" customFormat="false" ht="30" hidden="false" customHeight="true" outlineLevel="0" collapsed="false">
      <c r="A8" s="4" t="s">
        <v>14</v>
      </c>
      <c r="B8" s="5" t="s">
        <v>15</v>
      </c>
      <c r="C8" s="5" t="s">
        <v>16</v>
      </c>
    </row>
    <row r="10" customFormat="false" ht="15" hidden="false" customHeight="false" outlineLevel="0" collapsed="false">
      <c r="A10" s="6" t="s">
        <v>17</v>
      </c>
    </row>
    <row r="11" customFormat="false" ht="30" hidden="false" customHeight="true" outlineLevel="0" collapsed="false">
      <c r="A11" s="7" t="s">
        <v>18</v>
      </c>
      <c r="B11" s="7"/>
      <c r="C11" s="7"/>
    </row>
    <row r="12" customFormat="false" ht="30" hidden="false" customHeight="true" outlineLevel="0" collapsed="false">
      <c r="A12" s="7" t="s">
        <v>19</v>
      </c>
      <c r="B12" s="7"/>
      <c r="C12" s="7"/>
    </row>
    <row r="13" customFormat="false" ht="15" hidden="false" customHeight="true" outlineLevel="0" collapsed="false">
      <c r="A13" s="7" t="s">
        <v>20</v>
      </c>
      <c r="B13" s="7"/>
      <c r="C13" s="7"/>
    </row>
  </sheetData>
  <mergeCells count="4">
    <mergeCell ref="A2:C2"/>
    <mergeCell ref="A11:C11"/>
    <mergeCell ref="A12:C1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5.75" hidden="false" customHeight="true" outlineLevel="0" collapsed="false">
      <c r="A1" s="8" t="s">
        <v>21</v>
      </c>
    </row>
    <row r="3" customFormat="false" ht="15" hidden="false" customHeight="true" outlineLevel="0" collapsed="false">
      <c r="A3" s="9" t="s">
        <v>22</v>
      </c>
      <c r="B3" s="9" t="s">
        <v>23</v>
      </c>
      <c r="C3" s="9"/>
    </row>
    <row r="4" customFormat="false" ht="15" hidden="false" customHeight="true" outlineLevel="0" collapsed="false">
      <c r="A4" s="10" t="s">
        <v>24</v>
      </c>
      <c r="B4" s="11" t="n">
        <v>8</v>
      </c>
    </row>
    <row r="5" customFormat="false" ht="15" hidden="false" customHeight="true" outlineLevel="0" collapsed="false">
      <c r="A5" s="10" t="s">
        <v>25</v>
      </c>
      <c r="B5" s="11" t="n">
        <v>1</v>
      </c>
    </row>
    <row r="6" customFormat="false" ht="15" hidden="false" customHeight="true" outlineLevel="0" collapsed="false">
      <c r="A6" s="10" t="s">
        <v>26</v>
      </c>
      <c r="B6" s="12" t="n">
        <v>0.15</v>
      </c>
    </row>
    <row r="7" customFormat="false" ht="15" hidden="false" customHeight="true" outlineLevel="0" collapsed="false">
      <c r="A7" s="10" t="s">
        <v>27</v>
      </c>
      <c r="B7" s="12" t="n">
        <v>0.6</v>
      </c>
    </row>
    <row r="8" customFormat="false" ht="15" hidden="false" customHeight="true" outlineLevel="0" collapsed="false">
      <c r="A8" s="10" t="s">
        <v>28</v>
      </c>
      <c r="B8" s="12" t="n">
        <v>0.037</v>
      </c>
    </row>
    <row r="9" customFormat="false" ht="15" hidden="false" customHeight="true" outlineLevel="0" collapsed="false">
      <c r="A9" s="10" t="s">
        <v>29</v>
      </c>
      <c r="B9" s="12" t="n">
        <v>0.17</v>
      </c>
    </row>
    <row r="10" customFormat="false" ht="15" hidden="false" customHeight="true" outlineLevel="0" collapsed="false">
      <c r="A10" s="10" t="s">
        <v>30</v>
      </c>
      <c r="B10" s="13" t="n">
        <v>2</v>
      </c>
    </row>
    <row r="11" customFormat="false" ht="15" hidden="false" customHeight="true" outlineLevel="0" collapsed="false">
      <c r="A11" s="10" t="s">
        <v>31</v>
      </c>
      <c r="B11" s="13" t="n">
        <v>10</v>
      </c>
    </row>
    <row r="12" customFormat="false" ht="15" hidden="false" customHeight="true" outlineLevel="0" collapsed="false">
      <c r="A12" s="10" t="s">
        <v>32</v>
      </c>
      <c r="B12" s="13" t="n">
        <v>0.1</v>
      </c>
    </row>
    <row r="13" customFormat="false" ht="15" hidden="false" customHeight="true" outlineLevel="0" collapsed="false">
      <c r="A13" s="10" t="s">
        <v>33</v>
      </c>
      <c r="B13" s="13" t="n">
        <v>0.5</v>
      </c>
    </row>
    <row r="15" customFormat="false" ht="15" hidden="false" customHeight="true" outlineLevel="0" collapsed="false">
      <c r="A15" s="9" t="s">
        <v>34</v>
      </c>
      <c r="B15" s="9" t="s">
        <v>23</v>
      </c>
      <c r="C15" s="9"/>
    </row>
    <row r="16" customFormat="false" ht="15" hidden="false" customHeight="true" outlineLevel="0" collapsed="false">
      <c r="A16" s="10" t="s">
        <v>35</v>
      </c>
      <c r="B16" s="14" t="n">
        <v>8000</v>
      </c>
    </row>
    <row r="17" customFormat="false" ht="15" hidden="false" customHeight="true" outlineLevel="0" collapsed="false">
      <c r="A17" s="10" t="s">
        <v>36</v>
      </c>
      <c r="B17" s="14" t="n">
        <v>4000</v>
      </c>
    </row>
    <row r="18" customFormat="false" ht="15" hidden="false" customHeight="true" outlineLevel="0" collapsed="false">
      <c r="A18" s="10" t="s">
        <v>37</v>
      </c>
      <c r="B18" s="13" t="n">
        <v>63.3</v>
      </c>
    </row>
    <row r="19" customFormat="false" ht="15" hidden="false" customHeight="true" outlineLevel="0" collapsed="false">
      <c r="A19" s="10" t="s">
        <v>38</v>
      </c>
      <c r="B19" s="11" t="n">
        <v>8</v>
      </c>
    </row>
    <row r="20" customFormat="false" ht="15" hidden="false" customHeight="true" outlineLevel="0" collapsed="false">
      <c r="A20" s="10" t="s">
        <v>39</v>
      </c>
      <c r="B20" s="13" t="n">
        <v>4.5</v>
      </c>
    </row>
    <row r="21" customFormat="false" ht="15" hidden="false" customHeight="true" outlineLevel="0" collapsed="false">
      <c r="A21" s="10" t="s">
        <v>40</v>
      </c>
      <c r="B21" s="13" t="n">
        <v>2.69</v>
      </c>
    </row>
    <row r="22" customFormat="false" ht="15" hidden="false" customHeight="true" outlineLevel="0" collapsed="false">
      <c r="A22" s="10" t="s">
        <v>41</v>
      </c>
      <c r="B22" s="15" t="n">
        <v>1</v>
      </c>
    </row>
    <row r="23" customFormat="false" ht="15" hidden="false" customHeight="true" outlineLevel="0" collapsed="false">
      <c r="A23" s="10" t="s">
        <v>42</v>
      </c>
      <c r="B23" s="15" t="n">
        <v>0.5</v>
      </c>
    </row>
    <row r="24" customFormat="false" ht="15" hidden="false" customHeight="true" outlineLevel="0" collapsed="false">
      <c r="A24" s="10" t="s">
        <v>43</v>
      </c>
      <c r="B24" s="13" t="n">
        <v>1.22</v>
      </c>
    </row>
    <row r="25" customFormat="false" ht="15" hidden="false" customHeight="true" outlineLevel="0" collapsed="false">
      <c r="A25" s="10" t="s">
        <v>44</v>
      </c>
      <c r="B25" s="13" t="n">
        <v>0.03</v>
      </c>
    </row>
    <row r="26" customFormat="false" ht="15" hidden="false" customHeight="true" outlineLevel="0" collapsed="false">
      <c r="A26" s="10" t="s">
        <v>45</v>
      </c>
      <c r="B26" s="13" t="n">
        <v>0.05</v>
      </c>
    </row>
    <row r="28" customFormat="false" ht="15" hidden="false" customHeight="true" outlineLevel="0" collapsed="false">
      <c r="A28" s="9" t="s">
        <v>46</v>
      </c>
      <c r="B28" s="9" t="s">
        <v>23</v>
      </c>
      <c r="C28" s="9"/>
    </row>
    <row r="29" customFormat="false" ht="15" hidden="false" customHeight="true" outlineLevel="0" collapsed="false">
      <c r="A29" s="10" t="s">
        <v>47</v>
      </c>
      <c r="B29" s="14" t="n">
        <v>8000</v>
      </c>
    </row>
    <row r="30" customFormat="false" ht="15" hidden="false" customHeight="true" outlineLevel="0" collapsed="false">
      <c r="A30" s="10" t="s">
        <v>48</v>
      </c>
      <c r="B30" s="14" t="n">
        <v>1000</v>
      </c>
    </row>
    <row r="31" customFormat="false" ht="15" hidden="false" customHeight="true" outlineLevel="0" collapsed="false">
      <c r="A31" s="10" t="s">
        <v>49</v>
      </c>
      <c r="B31" s="14" t="n">
        <v>2000</v>
      </c>
    </row>
    <row r="32" customFormat="false" ht="15" hidden="false" customHeight="true" outlineLevel="0" collapsed="false">
      <c r="A32" s="10" t="s">
        <v>50</v>
      </c>
      <c r="B32" s="13" t="n">
        <v>0.1</v>
      </c>
    </row>
    <row r="33" customFormat="false" ht="15" hidden="false" customHeight="true" outlineLevel="0" collapsed="false">
      <c r="A33" s="10" t="s">
        <v>51</v>
      </c>
      <c r="B33" s="13" t="n">
        <v>0.5</v>
      </c>
    </row>
    <row r="35" customFormat="false" ht="15" hidden="false" customHeight="true" outlineLevel="0" collapsed="false">
      <c r="A35" s="9" t="s">
        <v>52</v>
      </c>
      <c r="B35" s="9" t="s">
        <v>53</v>
      </c>
      <c r="C35" s="9" t="s">
        <v>54</v>
      </c>
    </row>
    <row r="36" customFormat="false" ht="15" hidden="false" customHeight="true" outlineLevel="0" collapsed="false">
      <c r="A36" s="16" t="s">
        <v>55</v>
      </c>
      <c r="B36" s="17" t="n">
        <f aca="false">(B4*B6+B5*B7)/(B4+B5)</f>
        <v>0.2</v>
      </c>
      <c r="C36" s="18" t="s">
        <v>56</v>
      </c>
    </row>
    <row r="37" customFormat="false" ht="15" hidden="false" customHeight="true" outlineLevel="0" collapsed="false">
      <c r="A37" s="16" t="s">
        <v>57</v>
      </c>
      <c r="B37" s="17" t="n">
        <f aca="false">(B4*B10+B5*B11)/(B4+B5)</f>
        <v>2.88888888888889</v>
      </c>
      <c r="C37" s="18" t="s">
        <v>58</v>
      </c>
    </row>
    <row r="38" customFormat="false" ht="15" hidden="false" customHeight="true" outlineLevel="0" collapsed="false">
      <c r="A38" s="16" t="s">
        <v>59</v>
      </c>
      <c r="B38" s="17" t="n">
        <f aca="false">(B4*B12+B5*B13)/(B4+B5)</f>
        <v>0.144444444444444</v>
      </c>
      <c r="C38" s="18" t="s">
        <v>60</v>
      </c>
    </row>
    <row r="39" customFormat="false" ht="15" hidden="false" customHeight="true" outlineLevel="0" collapsed="false">
      <c r="A39" s="16" t="s">
        <v>61</v>
      </c>
      <c r="B39" s="17" t="n">
        <f aca="false">(B4*B8+B5*B9)/(B4+B5)</f>
        <v>0.0517777777777778</v>
      </c>
      <c r="C39" s="18" t="s">
        <v>62</v>
      </c>
    </row>
    <row r="40" customFormat="false" ht="15" hidden="false" customHeight="true" outlineLevel="0" collapsed="false">
      <c r="A40" s="16" t="s">
        <v>63</v>
      </c>
      <c r="B40" s="17" t="n">
        <f aca="false">((B29-B31)*B10+B31*B10*B32+B30*B11)/(B29+B30)</f>
        <v>2.48888888888889</v>
      </c>
      <c r="C40" s="18" t="s">
        <v>64</v>
      </c>
    </row>
    <row r="41" customFormat="false" ht="15" hidden="false" customHeight="true" outlineLevel="0" collapsed="false">
      <c r="A41" s="16" t="s">
        <v>65</v>
      </c>
      <c r="B41" s="17" t="n">
        <f aca="false">B37*B33</f>
        <v>1.44444444444444</v>
      </c>
      <c r="C41" s="18" t="s">
        <v>66</v>
      </c>
    </row>
    <row r="43" customFormat="false" ht="15" hidden="false" customHeight="true" outlineLevel="0" collapsed="false">
      <c r="A43" s="9" t="s">
        <v>67</v>
      </c>
      <c r="B43" s="9" t="s">
        <v>53</v>
      </c>
      <c r="C43" s="9" t="s">
        <v>54</v>
      </c>
    </row>
    <row r="44" customFormat="false" ht="15" hidden="false" customHeight="true" outlineLevel="0" collapsed="false">
      <c r="A44" s="16" t="s">
        <v>68</v>
      </c>
      <c r="B44" s="19" t="n">
        <f aca="false">B16*3600/10^6</f>
        <v>28.8</v>
      </c>
      <c r="C44" s="18" t="s">
        <v>69</v>
      </c>
    </row>
    <row r="45" customFormat="false" ht="15" hidden="false" customHeight="true" outlineLevel="0" collapsed="false">
      <c r="A45" s="16" t="s">
        <v>70</v>
      </c>
      <c r="B45" s="17" t="n">
        <f aca="false">B18/B19</f>
        <v>7.9125</v>
      </c>
      <c r="C45" s="18" t="s">
        <v>71</v>
      </c>
    </row>
    <row r="46" customFormat="false" ht="15" hidden="false" customHeight="true" outlineLevel="0" collapsed="false">
      <c r="A46" s="16" t="s">
        <v>72</v>
      </c>
      <c r="B46" s="17" t="n">
        <f aca="false">'Owned TCO'!B32</f>
        <v>2.90051680745814</v>
      </c>
      <c r="C46" s="18" t="s">
        <v>73</v>
      </c>
    </row>
    <row r="48" customFormat="false" ht="23.85" hidden="false" customHeight="false" outlineLevel="0" collapsed="false">
      <c r="A48" s="9" t="s">
        <v>74</v>
      </c>
      <c r="B48" s="9" t="s">
        <v>75</v>
      </c>
      <c r="C48" s="20" t="n">
        <f aca="false">B22</f>
        <v>1</v>
      </c>
      <c r="D48" s="20" t="n">
        <f aca="false">B23</f>
        <v>0.5</v>
      </c>
      <c r="E48" s="9" t="s">
        <v>76</v>
      </c>
    </row>
    <row r="49" customFormat="false" ht="15" hidden="false" customHeight="false" outlineLevel="0" collapsed="false">
      <c r="A49" s="16" t="s">
        <v>77</v>
      </c>
      <c r="B49" s="21" t="n">
        <f aca="false">B45</f>
        <v>7.9125</v>
      </c>
      <c r="C49" s="17" t="n">
        <f aca="false">B49/(B44*C$48)</f>
        <v>0.274739583333333</v>
      </c>
      <c r="D49" s="17" t="n">
        <f aca="false">B49/(B44*D$48)</f>
        <v>0.549479166666667</v>
      </c>
      <c r="E49" s="18" t="s">
        <v>78</v>
      </c>
    </row>
    <row r="50" customFormat="false" ht="15" hidden="false" customHeight="false" outlineLevel="0" collapsed="false">
      <c r="A50" s="16" t="s">
        <v>79</v>
      </c>
      <c r="B50" s="21" t="n">
        <f aca="false">B20</f>
        <v>4.5</v>
      </c>
      <c r="C50" s="17" t="n">
        <f aca="false">B50/(B44*C$48)</f>
        <v>0.15625</v>
      </c>
      <c r="D50" s="17" t="n">
        <f aca="false">B50/(B44*D$48)</f>
        <v>0.3125</v>
      </c>
      <c r="E50" s="18" t="s">
        <v>80</v>
      </c>
    </row>
    <row r="51" customFormat="false" ht="15" hidden="false" customHeight="false" outlineLevel="0" collapsed="false">
      <c r="A51" s="16" t="s">
        <v>81</v>
      </c>
      <c r="B51" s="21" t="n">
        <f aca="false">B21</f>
        <v>2.69</v>
      </c>
      <c r="C51" s="17" t="n">
        <f aca="false">B51/(B44*C$48)</f>
        <v>0.0934027777777778</v>
      </c>
      <c r="D51" s="17" t="n">
        <f aca="false">B51/(B44*D$48)</f>
        <v>0.186805555555556</v>
      </c>
      <c r="E51" s="18" t="s">
        <v>82</v>
      </c>
    </row>
    <row r="52" customFormat="false" ht="15" hidden="false" customHeight="false" outlineLevel="0" collapsed="false">
      <c r="A52" s="16" t="s">
        <v>83</v>
      </c>
      <c r="B52" s="21" t="n">
        <f aca="false">B46</f>
        <v>2.90051680745814</v>
      </c>
      <c r="C52" s="17" t="n">
        <f aca="false">B52/(B44*C$48)</f>
        <v>0.100712389147852</v>
      </c>
      <c r="D52" s="17" t="n">
        <f aca="false">B52/(B44*D$48)</f>
        <v>0.201424778295704</v>
      </c>
      <c r="E52" s="18" t="s">
        <v>84</v>
      </c>
    </row>
    <row r="54" customFormat="false" ht="15" hidden="false" customHeight="true" outlineLevel="0" collapsed="false">
      <c r="A54" s="9" t="s">
        <v>85</v>
      </c>
      <c r="B54" s="9" t="s">
        <v>53</v>
      </c>
      <c r="C54" s="9" t="s">
        <v>54</v>
      </c>
    </row>
    <row r="55" customFormat="false" ht="15" hidden="false" customHeight="true" outlineLevel="0" collapsed="false">
      <c r="A55" s="16" t="s">
        <v>86</v>
      </c>
      <c r="B55" s="22" t="n">
        <f aca="false">B24*10^6/(3600*B26)</f>
        <v>6777.77777777778</v>
      </c>
      <c r="C55" s="18" t="s">
        <v>87</v>
      </c>
    </row>
    <row r="56" customFormat="false" ht="15" hidden="false" customHeight="true" outlineLevel="0" collapsed="false">
      <c r="A56" s="16" t="s">
        <v>88</v>
      </c>
      <c r="B56" s="22" t="n">
        <f aca="false">B24*10^6/(3600*B25)</f>
        <v>11296.2962962963</v>
      </c>
      <c r="C56" s="18" t="s">
        <v>89</v>
      </c>
    </row>
    <row r="57" customFormat="false" ht="15" hidden="false" customHeight="true" outlineLevel="0" collapsed="false">
      <c r="A57" s="16" t="s">
        <v>90</v>
      </c>
      <c r="B57" s="19" t="n">
        <f aca="false">B16/B17</f>
        <v>2</v>
      </c>
      <c r="C57" s="18" t="s">
        <v>91</v>
      </c>
    </row>
    <row r="59" customFormat="false" ht="15" hidden="false" customHeight="false" outlineLevel="0" collapsed="false">
      <c r="A59" s="23" t="s">
        <v>92</v>
      </c>
    </row>
    <row r="60" customFormat="false" ht="15" hidden="false" customHeight="false" outlineLevel="0" collapsed="false">
      <c r="A60" s="23" t="s">
        <v>93</v>
      </c>
    </row>
    <row r="61" customFormat="false" ht="15" hidden="false" customHeight="false" outlineLevel="0" collapsed="false">
      <c r="A61" s="2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5.75" hidden="false" customHeight="true" outlineLevel="0" collapsed="false">
      <c r="A1" s="8" t="s">
        <v>95</v>
      </c>
    </row>
    <row r="3" customFormat="false" ht="15" hidden="false" customHeight="true" outlineLevel="0" collapsed="false">
      <c r="A3" s="9" t="s">
        <v>96</v>
      </c>
      <c r="B3" s="9" t="s">
        <v>23</v>
      </c>
      <c r="C3" s="9"/>
    </row>
    <row r="4" customFormat="false" ht="15" hidden="false" customHeight="true" outlineLevel="0" collapsed="false">
      <c r="A4" s="10" t="s">
        <v>97</v>
      </c>
      <c r="B4" s="14" t="n">
        <v>320000</v>
      </c>
    </row>
    <row r="5" customFormat="false" ht="15" hidden="false" customHeight="true" outlineLevel="0" collapsed="false">
      <c r="A5" s="10" t="s">
        <v>98</v>
      </c>
      <c r="B5" s="11" t="n">
        <v>8</v>
      </c>
    </row>
    <row r="6" customFormat="false" ht="15" hidden="false" customHeight="true" outlineLevel="0" collapsed="false">
      <c r="A6" s="10" t="s">
        <v>99</v>
      </c>
      <c r="B6" s="24" t="n">
        <v>10</v>
      </c>
    </row>
    <row r="7" customFormat="false" ht="15" hidden="false" customHeight="true" outlineLevel="0" collapsed="false">
      <c r="A7" s="10" t="s">
        <v>100</v>
      </c>
      <c r="B7" s="13" t="n">
        <v>1.54</v>
      </c>
    </row>
    <row r="8" customFormat="false" ht="15" hidden="false" customHeight="true" outlineLevel="0" collapsed="false">
      <c r="A8" s="10" t="s">
        <v>101</v>
      </c>
      <c r="B8" s="25" t="n">
        <v>0.1453</v>
      </c>
    </row>
    <row r="9" customFormat="false" ht="15" hidden="false" customHeight="true" outlineLevel="0" collapsed="false">
      <c r="A9" s="10" t="s">
        <v>102</v>
      </c>
      <c r="B9" s="15" t="n">
        <v>0.1</v>
      </c>
    </row>
    <row r="10" customFormat="false" ht="15" hidden="false" customHeight="true" outlineLevel="0" collapsed="false">
      <c r="A10" s="10" t="s">
        <v>103</v>
      </c>
      <c r="B10" s="13" t="n">
        <v>0.25</v>
      </c>
    </row>
    <row r="11" customFormat="false" ht="15" hidden="false" customHeight="true" outlineLevel="0" collapsed="false">
      <c r="A11" s="10" t="s">
        <v>104</v>
      </c>
      <c r="B11" s="14" t="n">
        <v>180000</v>
      </c>
    </row>
    <row r="12" customFormat="false" ht="15" hidden="false" customHeight="true" outlineLevel="0" collapsed="false">
      <c r="A12" s="10" t="s">
        <v>105</v>
      </c>
      <c r="B12" s="11" t="n">
        <v>3</v>
      </c>
    </row>
    <row r="13" customFormat="false" ht="15" hidden="false" customHeight="true" outlineLevel="0" collapsed="false">
      <c r="A13" s="10" t="s">
        <v>106</v>
      </c>
      <c r="B13" s="11" t="n">
        <v>5</v>
      </c>
    </row>
    <row r="14" customFormat="false" ht="15" hidden="false" customHeight="true" outlineLevel="0" collapsed="false">
      <c r="A14" s="10" t="s">
        <v>107</v>
      </c>
      <c r="B14" s="14" t="n">
        <v>8760</v>
      </c>
    </row>
    <row r="15" customFormat="false" ht="15" hidden="false" customHeight="true" outlineLevel="0" collapsed="false">
      <c r="A15" s="10" t="s">
        <v>108</v>
      </c>
      <c r="B15" s="14" t="n">
        <v>730</v>
      </c>
    </row>
    <row r="16" customFormat="false" ht="15" hidden="false" customHeight="true" outlineLevel="0" collapsed="false">
      <c r="A16" s="10" t="s">
        <v>109</v>
      </c>
      <c r="B16" s="15" t="n">
        <v>0.5</v>
      </c>
    </row>
    <row r="17" customFormat="false" ht="15" hidden="false" customHeight="true" outlineLevel="0" collapsed="false">
      <c r="A17" s="10" t="s">
        <v>110</v>
      </c>
      <c r="B17" s="15" t="n">
        <v>0.25</v>
      </c>
    </row>
    <row r="18" customFormat="false" ht="15" hidden="false" customHeight="true" outlineLevel="0" collapsed="false">
      <c r="A18" s="10" t="s">
        <v>111</v>
      </c>
      <c r="B18" s="14" t="n">
        <v>196</v>
      </c>
    </row>
    <row r="19" customFormat="false" ht="15" hidden="false" customHeight="true" outlineLevel="0" collapsed="false">
      <c r="A19" s="10" t="s">
        <v>112</v>
      </c>
      <c r="B19" s="14" t="n">
        <v>400000</v>
      </c>
    </row>
    <row r="20" customFormat="false" ht="15" hidden="false" customHeight="true" outlineLevel="0" collapsed="false">
      <c r="A20" s="10" t="s">
        <v>113</v>
      </c>
      <c r="B20" s="15" t="n">
        <v>0.08</v>
      </c>
    </row>
    <row r="21" customFormat="false" ht="15" hidden="false" customHeight="true" outlineLevel="0" collapsed="false">
      <c r="A21" s="10" t="s">
        <v>114</v>
      </c>
      <c r="B21" s="21" t="n">
        <f aca="false">'Token Cost'!B45</f>
        <v>7.9125</v>
      </c>
    </row>
    <row r="22" customFormat="false" ht="15" hidden="false" customHeight="true" outlineLevel="0" collapsed="false">
      <c r="A22" s="10" t="s">
        <v>115</v>
      </c>
      <c r="B22" s="21" t="n">
        <f aca="false">'Token Cost'!B20</f>
        <v>4.5</v>
      </c>
    </row>
    <row r="24" customFormat="false" ht="15" hidden="false" customHeight="true" outlineLevel="0" collapsed="false">
      <c r="A24" s="9" t="s">
        <v>116</v>
      </c>
      <c r="B24" s="9" t="s">
        <v>53</v>
      </c>
      <c r="C24" s="9" t="s">
        <v>54</v>
      </c>
    </row>
    <row r="25" customFormat="false" ht="15" hidden="false" customHeight="true" outlineLevel="0" collapsed="false">
      <c r="A25" s="16" t="s">
        <v>117</v>
      </c>
      <c r="B25" s="17" t="n">
        <f aca="false">B4/(B12*B14)</f>
        <v>12.1765601217656</v>
      </c>
      <c r="C25" s="18" t="s">
        <v>118</v>
      </c>
    </row>
    <row r="26" customFormat="false" ht="15" hidden="false" customHeight="true" outlineLevel="0" collapsed="false">
      <c r="A26" s="16" t="s">
        <v>119</v>
      </c>
      <c r="B26" s="17" t="n">
        <f aca="false">B4/(B13*B14)</f>
        <v>7.30593607305936</v>
      </c>
      <c r="C26" s="18" t="s">
        <v>120</v>
      </c>
    </row>
    <row r="27" customFormat="false" ht="15" hidden="false" customHeight="true" outlineLevel="0" collapsed="false">
      <c r="A27" s="16" t="s">
        <v>121</v>
      </c>
      <c r="B27" s="17" t="n">
        <f aca="false">B6*B7*B8</f>
        <v>2.23762</v>
      </c>
      <c r="C27" s="18" t="s">
        <v>122</v>
      </c>
    </row>
    <row r="28" customFormat="false" ht="15" hidden="false" customHeight="true" outlineLevel="0" collapsed="false">
      <c r="A28" s="16" t="s">
        <v>123</v>
      </c>
      <c r="B28" s="17" t="n">
        <f aca="false">B4*B9/B14</f>
        <v>3.65296803652968</v>
      </c>
      <c r="C28" s="18" t="s">
        <v>124</v>
      </c>
    </row>
    <row r="29" customFormat="false" ht="15" hidden="false" customHeight="true" outlineLevel="0" collapsed="false">
      <c r="A29" s="16" t="s">
        <v>125</v>
      </c>
      <c r="B29" s="17" t="n">
        <f aca="false">B10*B11/B14</f>
        <v>5.13698630136986</v>
      </c>
      <c r="C29" s="18" t="s">
        <v>126</v>
      </c>
    </row>
    <row r="30" customFormat="false" ht="15" hidden="false" customHeight="true" outlineLevel="0" collapsed="false">
      <c r="A30" s="16" t="s">
        <v>127</v>
      </c>
      <c r="B30" s="17" t="n">
        <f aca="false">B25+B27+B28+B29</f>
        <v>23.2041344596651</v>
      </c>
      <c r="C30" s="18" t="s">
        <v>128</v>
      </c>
    </row>
    <row r="31" customFormat="false" ht="15" hidden="false" customHeight="true" outlineLevel="0" collapsed="false">
      <c r="A31" s="16" t="s">
        <v>129</v>
      </c>
      <c r="B31" s="17" t="n">
        <f aca="false">B26+B27+B28+B29</f>
        <v>18.3335104109589</v>
      </c>
      <c r="C31" s="18" t="s">
        <v>130</v>
      </c>
    </row>
    <row r="32" customFormat="false" ht="15" hidden="false" customHeight="true" outlineLevel="0" collapsed="false">
      <c r="A32" s="16" t="s">
        <v>131</v>
      </c>
      <c r="B32" s="17" t="n">
        <f aca="false">B30/B5</f>
        <v>2.90051680745814</v>
      </c>
      <c r="C32" s="18" t="s">
        <v>73</v>
      </c>
    </row>
    <row r="33" customFormat="false" ht="15" hidden="false" customHeight="true" outlineLevel="0" collapsed="false">
      <c r="A33" s="16" t="s">
        <v>132</v>
      </c>
      <c r="B33" s="17" t="n">
        <f aca="false">B31/B5</f>
        <v>2.29168880136986</v>
      </c>
      <c r="C33" s="18" t="s">
        <v>133</v>
      </c>
    </row>
    <row r="34" customFormat="false" ht="15" hidden="false" customHeight="true" outlineLevel="0" collapsed="false">
      <c r="A34" s="16" t="s">
        <v>134</v>
      </c>
      <c r="B34" s="22" t="n">
        <f aca="false">B30*B15</f>
        <v>16939.0181555556</v>
      </c>
      <c r="C34" s="18" t="s">
        <v>135</v>
      </c>
    </row>
    <row r="36" customFormat="false" ht="15" hidden="false" customHeight="true" outlineLevel="0" collapsed="false">
      <c r="A36" s="9" t="s">
        <v>136</v>
      </c>
      <c r="B36" s="9" t="s">
        <v>53</v>
      </c>
      <c r="C36" s="9" t="s">
        <v>54</v>
      </c>
    </row>
    <row r="37" customFormat="false" ht="15" hidden="false" customHeight="true" outlineLevel="0" collapsed="false">
      <c r="A37" s="16" t="s">
        <v>137</v>
      </c>
      <c r="B37" s="17" t="n">
        <f aca="false">B32/B16</f>
        <v>5.80103361491629</v>
      </c>
      <c r="C37" s="18" t="s">
        <v>138</v>
      </c>
    </row>
    <row r="38" customFormat="false" ht="15" hidden="false" customHeight="true" outlineLevel="0" collapsed="false">
      <c r="A38" s="16" t="s">
        <v>139</v>
      </c>
      <c r="B38" s="17" t="n">
        <f aca="false">B32/B17</f>
        <v>11.6020672298326</v>
      </c>
      <c r="C38" s="18" t="s">
        <v>140</v>
      </c>
    </row>
    <row r="39" customFormat="false" ht="15" hidden="false" customHeight="true" outlineLevel="0" collapsed="false">
      <c r="A39" s="16" t="s">
        <v>141</v>
      </c>
      <c r="B39" s="16" t="str">
        <f aca="false">IF(B38&gt;B21,"yes","no")</f>
        <v>yes</v>
      </c>
      <c r="C39" s="18" t="s">
        <v>142</v>
      </c>
    </row>
    <row r="40" customFormat="false" ht="15" hidden="false" customHeight="true" outlineLevel="0" collapsed="false">
      <c r="A40" s="16" t="s">
        <v>143</v>
      </c>
      <c r="B40" s="26" t="n">
        <f aca="false">B32/B21</f>
        <v>0.366574004102135</v>
      </c>
      <c r="C40" s="18" t="s">
        <v>144</v>
      </c>
    </row>
    <row r="41" customFormat="false" ht="15" hidden="false" customHeight="true" outlineLevel="0" collapsed="false">
      <c r="A41" s="16" t="s">
        <v>145</v>
      </c>
      <c r="B41" s="26" t="n">
        <f aca="false">B32/B22</f>
        <v>0.644559290546254</v>
      </c>
      <c r="C41" s="18" t="s">
        <v>146</v>
      </c>
    </row>
    <row r="43" customFormat="false" ht="15" hidden="false" customHeight="true" outlineLevel="0" collapsed="false">
      <c r="A43" s="9" t="s">
        <v>147</v>
      </c>
      <c r="B43" s="9" t="s">
        <v>53</v>
      </c>
      <c r="C43" s="9" t="s">
        <v>54</v>
      </c>
    </row>
    <row r="44" customFormat="false" ht="15" hidden="false" customHeight="true" outlineLevel="0" collapsed="false">
      <c r="A44" s="16" t="s">
        <v>148</v>
      </c>
      <c r="B44" s="17" t="n">
        <f aca="false">B18*B6/B15</f>
        <v>2.68493150684932</v>
      </c>
      <c r="C44" s="18" t="s">
        <v>149</v>
      </c>
    </row>
    <row r="45" customFormat="false" ht="15" hidden="false" customHeight="true" outlineLevel="0" collapsed="false">
      <c r="A45" s="16" t="s">
        <v>150</v>
      </c>
      <c r="B45" s="17" t="n">
        <f aca="false">B6*B8</f>
        <v>1.453</v>
      </c>
      <c r="C45" s="18" t="s">
        <v>151</v>
      </c>
    </row>
    <row r="46" customFormat="false" ht="15" hidden="false" customHeight="true" outlineLevel="0" collapsed="false">
      <c r="A46" s="16" t="s">
        <v>152</v>
      </c>
      <c r="B46" s="17" t="n">
        <f aca="false">B25+B44+B45+B28+B29</f>
        <v>25.1044459665145</v>
      </c>
      <c r="C46" s="18" t="s">
        <v>153</v>
      </c>
    </row>
    <row r="47" customFormat="false" ht="15" hidden="false" customHeight="true" outlineLevel="0" collapsed="false">
      <c r="A47" s="16" t="s">
        <v>154</v>
      </c>
      <c r="B47" s="17" t="n">
        <f aca="false">B46/B5</f>
        <v>3.13805574581431</v>
      </c>
      <c r="C47" s="18" t="s">
        <v>155</v>
      </c>
    </row>
    <row r="48" customFormat="false" ht="15" hidden="false" customHeight="true" outlineLevel="0" collapsed="false">
      <c r="A48" s="16" t="s">
        <v>156</v>
      </c>
      <c r="B48" s="17" t="n">
        <f aca="false">(B19/(B12*B14)+B27+B19*B9/B14+B29)/B5</f>
        <v>3.39518956240487</v>
      </c>
      <c r="C48" s="18" t="s">
        <v>157</v>
      </c>
    </row>
    <row r="49" customFormat="false" ht="15" hidden="false" customHeight="true" outlineLevel="0" collapsed="false">
      <c r="A49" s="16" t="s">
        <v>158</v>
      </c>
      <c r="B49" s="17" t="n">
        <f aca="false">(-PMT(B20,B12,B4)-B4/B12)/B14/B5</f>
        <v>0.249772514671209</v>
      </c>
      <c r="C49" s="18" t="s">
        <v>159</v>
      </c>
    </row>
    <row r="50" customFormat="false" ht="15" hidden="false" customHeight="true" outlineLevel="0" collapsed="false">
      <c r="A50" s="16" t="s">
        <v>160</v>
      </c>
      <c r="B50" s="26" t="n">
        <f aca="false">(B28+B29)/B30</f>
        <v>0.378809834651613</v>
      </c>
      <c r="C50" s="18" t="s">
        <v>161</v>
      </c>
    </row>
    <row r="51" customFormat="false" ht="15" hidden="false" customHeight="true" outlineLevel="0" collapsed="false">
      <c r="A51" s="16" t="s">
        <v>162</v>
      </c>
      <c r="B51" s="26" t="n">
        <f aca="false">B29/B30</f>
        <v>0.221382370900293</v>
      </c>
      <c r="C51" s="18" t="s">
        <v>163</v>
      </c>
    </row>
    <row r="52" customFormat="false" ht="15" hidden="false" customHeight="true" outlineLevel="0" collapsed="false">
      <c r="A52" s="16" t="s">
        <v>164</v>
      </c>
      <c r="B52" s="26" t="n">
        <f aca="false">B32/B21</f>
        <v>0.366574004102135</v>
      </c>
      <c r="C52" s="18" t="s">
        <v>165</v>
      </c>
    </row>
    <row r="53" customFormat="false" ht="15" hidden="false" customHeight="true" outlineLevel="0" collapsed="false">
      <c r="A53" s="16" t="s">
        <v>166</v>
      </c>
      <c r="B53" s="26" t="n">
        <f aca="false">1-B31/B30</f>
        <v>0.20990328500176</v>
      </c>
      <c r="C53" s="18" t="s">
        <v>167</v>
      </c>
    </row>
    <row r="55" customFormat="false" ht="15" hidden="false" customHeight="false" outlineLevel="0" collapsed="false">
      <c r="A55" s="23" t="s">
        <v>168</v>
      </c>
    </row>
    <row r="56" customFormat="false" ht="15" hidden="false" customHeight="false" outlineLevel="0" collapsed="false">
      <c r="A56" s="23" t="s">
        <v>169</v>
      </c>
    </row>
    <row r="57" customFormat="false" ht="15" hidden="false" customHeight="false" outlineLevel="0" collapsed="false">
      <c r="A57" s="23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5.75" hidden="false" customHeight="true" outlineLevel="0" collapsed="false">
      <c r="A1" s="8" t="s">
        <v>171</v>
      </c>
    </row>
    <row r="3" customFormat="false" ht="15" hidden="false" customHeight="true" outlineLevel="0" collapsed="false">
      <c r="A3" s="9" t="s">
        <v>172</v>
      </c>
      <c r="B3" s="9" t="s">
        <v>23</v>
      </c>
      <c r="C3" s="9"/>
    </row>
    <row r="4" customFormat="false" ht="15" hidden="false" customHeight="true" outlineLevel="0" collapsed="false">
      <c r="A4" s="10" t="s">
        <v>125</v>
      </c>
      <c r="B4" s="14" t="n">
        <v>2000</v>
      </c>
    </row>
    <row r="5" customFormat="false" ht="15" hidden="false" customHeight="true" outlineLevel="0" collapsed="false">
      <c r="A5" s="10" t="s">
        <v>173</v>
      </c>
      <c r="B5" s="11" t="n">
        <v>40</v>
      </c>
    </row>
    <row r="6" customFormat="false" ht="15" hidden="false" customHeight="true" outlineLevel="0" collapsed="false">
      <c r="A6" s="10" t="s">
        <v>174</v>
      </c>
      <c r="B6" s="11" t="n">
        <v>22</v>
      </c>
    </row>
    <row r="7" customFormat="false" ht="15" hidden="false" customHeight="true" outlineLevel="0" collapsed="false">
      <c r="A7" s="10" t="s">
        <v>47</v>
      </c>
      <c r="B7" s="14" t="n">
        <v>8000</v>
      </c>
    </row>
    <row r="8" customFormat="false" ht="15" hidden="false" customHeight="true" outlineLevel="0" collapsed="false">
      <c r="A8" s="10" t="s">
        <v>48</v>
      </c>
      <c r="B8" s="14" t="n">
        <v>1000</v>
      </c>
    </row>
    <row r="9" customFormat="false" ht="15" hidden="false" customHeight="true" outlineLevel="0" collapsed="false">
      <c r="A9" s="10" t="s">
        <v>175</v>
      </c>
      <c r="B9" s="11" t="n">
        <v>10</v>
      </c>
    </row>
    <row r="10" customFormat="false" ht="15" hidden="false" customHeight="true" outlineLevel="0" collapsed="false">
      <c r="A10" s="10" t="s">
        <v>176</v>
      </c>
      <c r="B10" s="15" t="n">
        <v>0.14</v>
      </c>
    </row>
    <row r="11" customFormat="false" ht="15" hidden="false" customHeight="true" outlineLevel="0" collapsed="false">
      <c r="A11" s="10" t="s">
        <v>177</v>
      </c>
      <c r="B11" s="15" t="n">
        <v>0.1</v>
      </c>
    </row>
    <row r="13" customFormat="false" ht="15" hidden="false" customHeight="true" outlineLevel="0" collapsed="false">
      <c r="A13" s="9" t="s">
        <v>178</v>
      </c>
      <c r="B13" s="9" t="s">
        <v>23</v>
      </c>
      <c r="C13" s="9"/>
    </row>
    <row r="14" customFormat="false" ht="15" hidden="false" customHeight="true" outlineLevel="0" collapsed="false">
      <c r="A14" s="10" t="s">
        <v>179</v>
      </c>
      <c r="B14" s="11" t="n">
        <v>8</v>
      </c>
    </row>
    <row r="15" customFormat="false" ht="15" hidden="false" customHeight="true" outlineLevel="0" collapsed="false">
      <c r="A15" s="10" t="s">
        <v>180</v>
      </c>
      <c r="B15" s="14" t="n">
        <v>250000</v>
      </c>
    </row>
    <row r="16" customFormat="false" ht="15" hidden="false" customHeight="true" outlineLevel="0" collapsed="false">
      <c r="A16" s="10" t="s">
        <v>181</v>
      </c>
      <c r="B16" s="24" t="n">
        <v>6.3</v>
      </c>
    </row>
    <row r="17" customFormat="false" ht="15" hidden="false" customHeight="true" outlineLevel="0" collapsed="false">
      <c r="A17" s="10" t="s">
        <v>182</v>
      </c>
      <c r="B17" s="11" t="n">
        <v>8</v>
      </c>
    </row>
    <row r="18" customFormat="false" ht="15" hidden="false" customHeight="true" outlineLevel="0" collapsed="false">
      <c r="A18" s="10" t="s">
        <v>183</v>
      </c>
      <c r="B18" s="14" t="n">
        <v>2700</v>
      </c>
    </row>
    <row r="19" customFormat="false" ht="15" hidden="false" customHeight="true" outlineLevel="0" collapsed="false">
      <c r="A19" s="10" t="s">
        <v>184</v>
      </c>
      <c r="B19" s="15" t="n">
        <v>0.7</v>
      </c>
    </row>
    <row r="20" customFormat="false" ht="15" hidden="false" customHeight="true" outlineLevel="0" collapsed="false">
      <c r="A20" s="10" t="s">
        <v>185</v>
      </c>
      <c r="B20" s="14" t="n">
        <v>6000</v>
      </c>
    </row>
    <row r="22" customFormat="false" ht="15" hidden="false" customHeight="true" outlineLevel="0" collapsed="false">
      <c r="A22" s="9" t="s">
        <v>186</v>
      </c>
      <c r="B22" s="9" t="s">
        <v>53</v>
      </c>
      <c r="C22" s="9" t="s">
        <v>54</v>
      </c>
    </row>
    <row r="23" customFormat="false" ht="15" hidden="false" customHeight="true" outlineLevel="0" collapsed="false">
      <c r="A23" s="16" t="s">
        <v>187</v>
      </c>
      <c r="B23" s="17" t="n">
        <f aca="false">B4*B5*B6*(B7+B8)/10^9</f>
        <v>15.84</v>
      </c>
      <c r="C23" s="18" t="s">
        <v>188</v>
      </c>
    </row>
    <row r="24" customFormat="false" ht="15" hidden="false" customHeight="true" outlineLevel="0" collapsed="false">
      <c r="A24" s="16" t="s">
        <v>189</v>
      </c>
      <c r="B24" s="17" t="n">
        <f aca="false">B4*B5*B6*B7/10^9</f>
        <v>14.08</v>
      </c>
      <c r="C24" s="18" t="s">
        <v>190</v>
      </c>
    </row>
    <row r="25" customFormat="false" ht="15" hidden="false" customHeight="true" outlineLevel="0" collapsed="false">
      <c r="A25" s="16" t="s">
        <v>191</v>
      </c>
      <c r="B25" s="17" t="n">
        <f aca="false">B4*B5*B6*B8/10^9</f>
        <v>1.76</v>
      </c>
      <c r="C25" s="18" t="s">
        <v>192</v>
      </c>
    </row>
    <row r="26" customFormat="false" ht="15" hidden="false" customHeight="true" outlineLevel="0" collapsed="false">
      <c r="A26" s="16" t="s">
        <v>193</v>
      </c>
      <c r="B26" s="22" t="n">
        <f aca="false">B23*10^9/(B6*B9*3600)</f>
        <v>20000</v>
      </c>
      <c r="C26" s="18" t="s">
        <v>194</v>
      </c>
    </row>
    <row r="27" customFormat="false" ht="15" hidden="false" customHeight="true" outlineLevel="0" collapsed="false">
      <c r="A27" s="16" t="s">
        <v>195</v>
      </c>
      <c r="B27" s="22" t="n">
        <f aca="false">B23*10^9/B6*B10/3600</f>
        <v>28000</v>
      </c>
      <c r="C27" s="18" t="s">
        <v>196</v>
      </c>
    </row>
    <row r="29" customFormat="false" ht="15" hidden="false" customHeight="true" outlineLevel="0" collapsed="false">
      <c r="A29" s="9" t="s">
        <v>197</v>
      </c>
      <c r="B29" s="9" t="s">
        <v>53</v>
      </c>
      <c r="C29" s="9" t="s">
        <v>54</v>
      </c>
    </row>
    <row r="30" customFormat="false" ht="15" hidden="false" customHeight="true" outlineLevel="0" collapsed="false">
      <c r="A30" s="16" t="s">
        <v>198</v>
      </c>
      <c r="B30" s="22" t="n">
        <f aca="false">B24*1000*'Token Cost'!B10+B25*1000*'Token Cost'!B11</f>
        <v>45760</v>
      </c>
      <c r="C30" s="18" t="s">
        <v>199</v>
      </c>
    </row>
    <row r="31" customFormat="false" ht="15" hidden="false" customHeight="true" outlineLevel="0" collapsed="false">
      <c r="A31" s="16" t="s">
        <v>200</v>
      </c>
      <c r="B31" s="17" t="n">
        <f aca="false">B30/B4</f>
        <v>22.88</v>
      </c>
      <c r="C31" s="18" t="s">
        <v>201</v>
      </c>
    </row>
    <row r="32" customFormat="false" ht="15" hidden="false" customHeight="true" outlineLevel="0" collapsed="false">
      <c r="A32" s="16" t="s">
        <v>55</v>
      </c>
      <c r="B32" s="22" t="n">
        <f aca="false">B24*1000*'Token Cost'!B6+B25*1000*'Token Cost'!B7</f>
        <v>3168</v>
      </c>
      <c r="C32" s="18" t="s">
        <v>202</v>
      </c>
    </row>
    <row r="33" customFormat="false" ht="15" hidden="false" customHeight="true" outlineLevel="0" collapsed="false">
      <c r="A33" s="16" t="s">
        <v>203</v>
      </c>
      <c r="B33" s="22" t="n">
        <f aca="false">B24*1000*'Token Cost'!B8+B25*1000*'Token Cost'!B9</f>
        <v>820.16</v>
      </c>
      <c r="C33" s="18" t="s">
        <v>204</v>
      </c>
    </row>
    <row r="34" customFormat="false" ht="15" hidden="false" customHeight="true" outlineLevel="0" collapsed="false">
      <c r="A34" s="16" t="s">
        <v>205</v>
      </c>
      <c r="B34" s="22" t="n">
        <f aca="false">B24*1000*'Token Cost'!B12+B25*1000*'Token Cost'!B13</f>
        <v>2288</v>
      </c>
      <c r="C34" s="18" t="s">
        <v>206</v>
      </c>
    </row>
    <row r="36" customFormat="false" ht="15" hidden="false" customHeight="true" outlineLevel="0" collapsed="false">
      <c r="A36" s="9" t="s">
        <v>207</v>
      </c>
      <c r="B36" s="9" t="s">
        <v>53</v>
      </c>
      <c r="C36" s="9" t="s">
        <v>54</v>
      </c>
    </row>
    <row r="37" customFormat="false" ht="15" hidden="false" customHeight="true" outlineLevel="0" collapsed="false">
      <c r="A37" s="16" t="s">
        <v>208</v>
      </c>
      <c r="B37" s="22" t="n">
        <f aca="false">'Owned TCO'!B34</f>
        <v>16939.0181555556</v>
      </c>
      <c r="C37" s="18" t="s">
        <v>209</v>
      </c>
    </row>
    <row r="38" customFormat="false" ht="15" hidden="false" customHeight="true" outlineLevel="0" collapsed="false">
      <c r="A38" s="16" t="s">
        <v>210</v>
      </c>
      <c r="B38" s="27" t="n">
        <f aca="false">B14*'Token Cost'!B16*3600*'Owned TCO'!B15/10^9</f>
        <v>168.192</v>
      </c>
      <c r="C38" s="18" t="s">
        <v>211</v>
      </c>
    </row>
    <row r="39" customFormat="false" ht="15" hidden="false" customHeight="true" outlineLevel="0" collapsed="false">
      <c r="A39" s="16" t="s">
        <v>212</v>
      </c>
      <c r="B39" s="26" t="n">
        <f aca="false">B23/B38</f>
        <v>0.0941780821917808</v>
      </c>
      <c r="C39" s="18" t="s">
        <v>213</v>
      </c>
    </row>
    <row r="40" customFormat="false" ht="15" hidden="false" customHeight="true" outlineLevel="0" collapsed="false">
      <c r="A40" s="16" t="s">
        <v>214</v>
      </c>
      <c r="B40" s="26" t="n">
        <f aca="false">B26/(B14*'Token Cost'!B16)</f>
        <v>0.3125</v>
      </c>
      <c r="C40" s="18" t="s">
        <v>215</v>
      </c>
    </row>
    <row r="42" customFormat="false" ht="15" hidden="false" customHeight="true" outlineLevel="0" collapsed="false">
      <c r="A42" s="9" t="s">
        <v>216</v>
      </c>
      <c r="B42" s="9" t="s">
        <v>53</v>
      </c>
      <c r="C42" s="9" t="s">
        <v>54</v>
      </c>
    </row>
    <row r="43" customFormat="false" ht="15" hidden="false" customHeight="true" outlineLevel="0" collapsed="false">
      <c r="A43" s="16" t="s">
        <v>217</v>
      </c>
      <c r="B43" s="17" t="n">
        <f aca="false">B15/('Owned TCO'!B12*'Owned TCO'!B14)</f>
        <v>9.51293759512938</v>
      </c>
      <c r="C43" s="18" t="s">
        <v>218</v>
      </c>
    </row>
    <row r="44" customFormat="false" ht="15" hidden="false" customHeight="true" outlineLevel="0" collapsed="false">
      <c r="A44" s="16" t="s">
        <v>121</v>
      </c>
      <c r="B44" s="17" t="n">
        <f aca="false">B16*'Owned TCO'!B7*'Owned TCO'!B8</f>
        <v>1.4097006</v>
      </c>
      <c r="C44" s="18" t="s">
        <v>219</v>
      </c>
    </row>
    <row r="45" customFormat="false" ht="15" hidden="false" customHeight="true" outlineLevel="0" collapsed="false">
      <c r="A45" s="16" t="s">
        <v>123</v>
      </c>
      <c r="B45" s="17" t="n">
        <f aca="false">B15*'Owned TCO'!B9/'Owned TCO'!B14</f>
        <v>2.85388127853881</v>
      </c>
      <c r="C45" s="18" t="s">
        <v>220</v>
      </c>
    </row>
    <row r="46" customFormat="false" ht="15" hidden="false" customHeight="true" outlineLevel="0" collapsed="false">
      <c r="A46" s="16" t="s">
        <v>125</v>
      </c>
      <c r="B46" s="17" t="n">
        <f aca="false">'Owned TCO'!B29</f>
        <v>5.13698630136986</v>
      </c>
      <c r="C46" s="18" t="s">
        <v>126</v>
      </c>
    </row>
    <row r="47" customFormat="false" ht="15" hidden="false" customHeight="true" outlineLevel="0" collapsed="false">
      <c r="A47" s="16" t="s">
        <v>221</v>
      </c>
      <c r="B47" s="22" t="n">
        <f aca="false">(B43+B44+B45+B46)*'Owned TCO'!B15</f>
        <v>13806.8592157778</v>
      </c>
      <c r="C47" s="18" t="s">
        <v>222</v>
      </c>
    </row>
    <row r="48" customFormat="false" ht="15" hidden="false" customHeight="true" outlineLevel="0" collapsed="false">
      <c r="A48" s="16" t="s">
        <v>223</v>
      </c>
      <c r="B48" s="22" t="n">
        <f aca="false">B17*B18</f>
        <v>21600</v>
      </c>
      <c r="C48" s="18" t="s">
        <v>224</v>
      </c>
    </row>
    <row r="49" customFormat="false" ht="15" hidden="false" customHeight="true" outlineLevel="0" collapsed="false">
      <c r="A49" s="16" t="s">
        <v>225</v>
      </c>
      <c r="B49" s="27" t="n">
        <f aca="false">ROUNDUP(B27/(B48*B19),0)</f>
        <v>2</v>
      </c>
      <c r="C49" s="18" t="s">
        <v>226</v>
      </c>
    </row>
    <row r="50" customFormat="false" ht="15" hidden="false" customHeight="true" outlineLevel="0" collapsed="false">
      <c r="A50" s="16" t="s">
        <v>227</v>
      </c>
      <c r="B50" s="22" t="n">
        <f aca="false">B49*B47+B20</f>
        <v>33613.7184315556</v>
      </c>
      <c r="C50" s="18" t="s">
        <v>228</v>
      </c>
    </row>
    <row r="51" customFormat="false" ht="15" hidden="false" customHeight="true" outlineLevel="0" collapsed="false">
      <c r="A51" s="16" t="s">
        <v>200</v>
      </c>
      <c r="B51" s="17" t="n">
        <f aca="false">B50/B4</f>
        <v>16.8068592157778</v>
      </c>
      <c r="C51" s="18" t="s">
        <v>229</v>
      </c>
    </row>
    <row r="53" customFormat="false" ht="15" hidden="false" customHeight="true" outlineLevel="0" collapsed="false">
      <c r="A53" s="9" t="s">
        <v>230</v>
      </c>
      <c r="B53" s="9" t="s">
        <v>53</v>
      </c>
      <c r="C53" s="9" t="s">
        <v>54</v>
      </c>
    </row>
    <row r="54" customFormat="false" ht="15" hidden="false" customHeight="true" outlineLevel="0" collapsed="false">
      <c r="A54" s="16" t="s">
        <v>231</v>
      </c>
      <c r="B54" s="22" t="n">
        <f aca="false">B11*B30</f>
        <v>4576</v>
      </c>
      <c r="C54" s="18" t="s">
        <v>232</v>
      </c>
    </row>
    <row r="55" customFormat="false" ht="15" hidden="false" customHeight="true" outlineLevel="0" collapsed="false">
      <c r="A55" s="16" t="s">
        <v>233</v>
      </c>
      <c r="B55" s="22" t="n">
        <f aca="false">B50+B54</f>
        <v>38189.7184315556</v>
      </c>
      <c r="C55" s="18" t="s">
        <v>234</v>
      </c>
    </row>
    <row r="56" customFormat="false" ht="15" hidden="false" customHeight="true" outlineLevel="0" collapsed="false">
      <c r="A56" s="16" t="s">
        <v>200</v>
      </c>
      <c r="B56" s="17" t="n">
        <f aca="false">B55/B4</f>
        <v>19.0948592157778</v>
      </c>
      <c r="C56" s="18" t="s">
        <v>235</v>
      </c>
    </row>
    <row r="57" customFormat="false" ht="15" hidden="false" customHeight="true" outlineLevel="0" collapsed="false">
      <c r="A57" s="16" t="s">
        <v>236</v>
      </c>
      <c r="B57" s="26" t="n">
        <f aca="false">(1-B11)*B27/(B49*B48)</f>
        <v>0.583333333333333</v>
      </c>
      <c r="C57" s="18" t="s">
        <v>237</v>
      </c>
    </row>
    <row r="58" customFormat="false" ht="15" hidden="false" customHeight="true" outlineLevel="0" collapsed="false">
      <c r="A58" s="16" t="s">
        <v>238</v>
      </c>
      <c r="B58" s="26" t="n">
        <f aca="false">B55/B30</f>
        <v>0.834565525165113</v>
      </c>
      <c r="C58" s="18" t="s">
        <v>239</v>
      </c>
    </row>
    <row r="59" customFormat="false" ht="15" hidden="false" customHeight="true" outlineLevel="0" collapsed="false">
      <c r="A59" s="16" t="s">
        <v>240</v>
      </c>
      <c r="B59" s="19" t="n">
        <f aca="false">B50/'Token Cost'!B37/1000</f>
        <v>11.6355179186154</v>
      </c>
      <c r="C59" s="18" t="s">
        <v>241</v>
      </c>
    </row>
    <row r="60" customFormat="false" ht="15" hidden="false" customHeight="true" outlineLevel="0" collapsed="false">
      <c r="A60" s="16" t="s">
        <v>242</v>
      </c>
      <c r="B60" s="26" t="n">
        <f aca="false">B59/B23</f>
        <v>0.734565525165113</v>
      </c>
      <c r="C60" s="18" t="s">
        <v>243</v>
      </c>
    </row>
    <row r="62" customFormat="false" ht="15" hidden="false" customHeight="true" outlineLevel="0" collapsed="false">
      <c r="A62" s="9" t="s">
        <v>244</v>
      </c>
      <c r="B62" s="9" t="s">
        <v>53</v>
      </c>
      <c r="C62" s="9" t="s">
        <v>54</v>
      </c>
    </row>
    <row r="63" customFormat="false" ht="15" hidden="false" customHeight="true" outlineLevel="0" collapsed="false">
      <c r="A63" s="16" t="s">
        <v>245</v>
      </c>
      <c r="B63" s="19" t="n">
        <f aca="false">B37/'Token Cost'!B37/1000</f>
        <v>5.86350628461539</v>
      </c>
      <c r="C63" s="18" t="s">
        <v>246</v>
      </c>
    </row>
    <row r="64" customFormat="false" ht="15" hidden="false" customHeight="true" outlineLevel="0" collapsed="false">
      <c r="A64" s="16" t="s">
        <v>247</v>
      </c>
      <c r="B64" s="27" t="n">
        <f aca="false">B37/'Token Cost'!B36/1000</f>
        <v>84.6950907777778</v>
      </c>
      <c r="C64" s="18" t="s">
        <v>248</v>
      </c>
    </row>
    <row r="65" customFormat="false" ht="15" hidden="false" customHeight="true" outlineLevel="0" collapsed="false">
      <c r="A65" s="16" t="s">
        <v>249</v>
      </c>
      <c r="B65" s="26" t="n">
        <f aca="false">B64/B38</f>
        <v>0.503561945739261</v>
      </c>
      <c r="C65" s="18" t="s">
        <v>250</v>
      </c>
    </row>
    <row r="66" customFormat="false" ht="15" hidden="false" customHeight="true" outlineLevel="0" collapsed="false">
      <c r="A66" s="16" t="s">
        <v>251</v>
      </c>
      <c r="B66" s="27" t="n">
        <f aca="false">B37/'Token Cost'!B38/1000</f>
        <v>117.270125692308</v>
      </c>
      <c r="C66" s="18" t="s">
        <v>252</v>
      </c>
    </row>
    <row r="67" customFormat="false" ht="15" hidden="false" customHeight="true" outlineLevel="0" collapsed="false">
      <c r="A67" s="16" t="s">
        <v>249</v>
      </c>
      <c r="B67" s="26" t="n">
        <f aca="false">B66/B38</f>
        <v>0.697239617177438</v>
      </c>
      <c r="C67" s="18" t="s">
        <v>253</v>
      </c>
    </row>
    <row r="69" customFormat="false" ht="15" hidden="false" customHeight="true" outlineLevel="0" collapsed="false">
      <c r="A69" s="9" t="s">
        <v>254</v>
      </c>
      <c r="B69" s="9" t="s">
        <v>53</v>
      </c>
      <c r="C69" s="9" t="s">
        <v>54</v>
      </c>
    </row>
    <row r="70" customFormat="false" ht="15" hidden="false" customHeight="true" outlineLevel="0" collapsed="false">
      <c r="A70" s="10" t="s">
        <v>255</v>
      </c>
      <c r="B70" s="14" t="n">
        <v>6800</v>
      </c>
    </row>
    <row r="71" customFormat="false" ht="15" hidden="false" customHeight="true" outlineLevel="0" collapsed="false">
      <c r="A71" s="10" t="s">
        <v>256</v>
      </c>
      <c r="B71" s="11" t="n">
        <v>36</v>
      </c>
    </row>
    <row r="72" customFormat="false" ht="15" hidden="false" customHeight="true" outlineLevel="0" collapsed="false">
      <c r="A72" s="16" t="s">
        <v>257</v>
      </c>
      <c r="B72" s="27" t="n">
        <f aca="false">B70/B71</f>
        <v>188.888888888889</v>
      </c>
      <c r="C72" s="18" t="s">
        <v>258</v>
      </c>
    </row>
    <row r="73" customFormat="false" ht="15" hidden="false" customHeight="true" outlineLevel="0" collapsed="false">
      <c r="A73" s="16" t="s">
        <v>259</v>
      </c>
      <c r="B73" s="19" t="n">
        <f aca="false">B23*1000/B4</f>
        <v>7.92</v>
      </c>
      <c r="C73" s="18" t="s">
        <v>260</v>
      </c>
    </row>
    <row r="74" customFormat="false" ht="15" hidden="false" customHeight="true" outlineLevel="0" collapsed="false">
      <c r="A74" s="16" t="s">
        <v>261</v>
      </c>
      <c r="B74" s="27" t="n">
        <f aca="false">B73*'Token Cost'!B37</f>
        <v>22.88</v>
      </c>
      <c r="C74" s="18" t="s">
        <v>262</v>
      </c>
    </row>
    <row r="75" customFormat="false" ht="15" hidden="false" customHeight="true" outlineLevel="0" collapsed="false">
      <c r="A75" s="16" t="s">
        <v>263</v>
      </c>
      <c r="B75" s="17" t="n">
        <f aca="false">B73*'Token Cost'!B36</f>
        <v>1.584</v>
      </c>
      <c r="C75" s="18" t="s">
        <v>264</v>
      </c>
    </row>
    <row r="76" customFormat="false" ht="15" hidden="false" customHeight="true" outlineLevel="0" collapsed="false">
      <c r="A76" s="16" t="s">
        <v>265</v>
      </c>
      <c r="B76" s="27" t="n">
        <f aca="false">B72/'Token Cost'!B37</f>
        <v>65.3846153846154</v>
      </c>
      <c r="C76" s="18" t="s">
        <v>266</v>
      </c>
    </row>
    <row r="77" customFormat="false" ht="15" hidden="false" customHeight="true" outlineLevel="0" collapsed="false">
      <c r="A77" s="16" t="s">
        <v>267</v>
      </c>
      <c r="B77" s="19" t="n">
        <f aca="false">B76/B73</f>
        <v>8.25563325563326</v>
      </c>
      <c r="C77" s="18" t="s">
        <v>268</v>
      </c>
    </row>
    <row r="79" customFormat="false" ht="15" hidden="false" customHeight="false" outlineLevel="0" collapsed="false">
      <c r="A79" s="23" t="s">
        <v>269</v>
      </c>
    </row>
    <row r="80" customFormat="false" ht="15" hidden="false" customHeight="false" outlineLevel="0" collapsed="false">
      <c r="A80" s="23" t="s">
        <v>270</v>
      </c>
    </row>
    <row r="81" customFormat="false" ht="15" hidden="false" customHeight="false" outlineLevel="0" collapsed="false">
      <c r="A81" s="23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5.75" hidden="false" customHeight="true" outlineLevel="0" collapsed="false">
      <c r="A1" s="8" t="s">
        <v>272</v>
      </c>
    </row>
    <row r="3" customFormat="false" ht="15" hidden="false" customHeight="true" outlineLevel="0" collapsed="false">
      <c r="A3" s="9" t="s">
        <v>96</v>
      </c>
      <c r="B3" s="9" t="s">
        <v>23</v>
      </c>
      <c r="C3" s="9"/>
    </row>
    <row r="4" customFormat="false" ht="15" hidden="false" customHeight="true" outlineLevel="0" collapsed="false">
      <c r="A4" s="10" t="s">
        <v>273</v>
      </c>
      <c r="B4" s="28" t="n">
        <v>0.999</v>
      </c>
    </row>
    <row r="5" customFormat="false" ht="15" hidden="false" customHeight="true" outlineLevel="0" collapsed="false">
      <c r="A5" s="10" t="s">
        <v>274</v>
      </c>
      <c r="B5" s="28" t="n">
        <v>0.995</v>
      </c>
    </row>
    <row r="6" customFormat="false" ht="15" hidden="false" customHeight="true" outlineLevel="0" collapsed="false">
      <c r="A6" s="10" t="s">
        <v>275</v>
      </c>
      <c r="B6" s="28" t="n">
        <v>0.995</v>
      </c>
    </row>
    <row r="7" customFormat="false" ht="15" hidden="false" customHeight="true" outlineLevel="0" collapsed="false">
      <c r="A7" s="10" t="s">
        <v>276</v>
      </c>
      <c r="B7" s="28" t="n">
        <v>0.995</v>
      </c>
    </row>
    <row r="8" customFormat="false" ht="15" hidden="false" customHeight="true" outlineLevel="0" collapsed="false">
      <c r="A8" s="10" t="s">
        <v>108</v>
      </c>
      <c r="B8" s="14" t="n">
        <v>730</v>
      </c>
    </row>
    <row r="10" customFormat="false" ht="15" hidden="false" customHeight="true" outlineLevel="0" collapsed="false">
      <c r="A10" s="9" t="s">
        <v>277</v>
      </c>
      <c r="B10" s="9" t="s">
        <v>53</v>
      </c>
      <c r="C10" s="9" t="s">
        <v>54</v>
      </c>
    </row>
    <row r="11" customFormat="false" ht="15" hidden="false" customHeight="true" outlineLevel="0" collapsed="false">
      <c r="A11" s="16" t="s">
        <v>278</v>
      </c>
      <c r="B11" s="17" t="n">
        <f aca="false">(1-B4)*B8</f>
        <v>0.730000000000001</v>
      </c>
      <c r="C11" s="18" t="s">
        <v>279</v>
      </c>
    </row>
    <row r="12" customFormat="false" ht="15" hidden="false" customHeight="true" outlineLevel="0" collapsed="false">
      <c r="A12" s="16" t="s">
        <v>280</v>
      </c>
      <c r="B12" s="27" t="n">
        <f aca="false">B11*60</f>
        <v>43.8</v>
      </c>
      <c r="C12" s="18" t="s">
        <v>281</v>
      </c>
    </row>
    <row r="13" customFormat="false" ht="15" hidden="false" customHeight="true" outlineLevel="0" collapsed="false">
      <c r="A13" s="16" t="s">
        <v>282</v>
      </c>
      <c r="B13" s="17" t="n">
        <f aca="false">(1-B5)*B8</f>
        <v>3.65</v>
      </c>
      <c r="C13" s="18" t="s">
        <v>124</v>
      </c>
    </row>
    <row r="14" customFormat="false" ht="15" hidden="false" customHeight="true" outlineLevel="0" collapsed="false">
      <c r="A14" s="16" t="s">
        <v>283</v>
      </c>
      <c r="B14" s="29" t="n">
        <f aca="false">(1-B6)*(1-B7)</f>
        <v>2.5E-005</v>
      </c>
      <c r="C14" s="18" t="s">
        <v>284</v>
      </c>
    </row>
    <row r="15" customFormat="false" ht="15" hidden="false" customHeight="true" outlineLevel="0" collapsed="false">
      <c r="A15" s="16" t="s">
        <v>285</v>
      </c>
      <c r="B15" s="19" t="n">
        <f aca="false">B14*B8*60</f>
        <v>1.095</v>
      </c>
      <c r="C15" s="18" t="s">
        <v>286</v>
      </c>
    </row>
    <row r="16" customFormat="false" ht="15" hidden="false" customHeight="true" outlineLevel="0" collapsed="false">
      <c r="A16" s="16" t="s">
        <v>287</v>
      </c>
      <c r="B16" s="29" t="n">
        <f aca="false">1-B14</f>
        <v>0.999975</v>
      </c>
    </row>
    <row r="18" customFormat="false" ht="15" hidden="false" customHeight="false" outlineLevel="0" collapsed="false">
      <c r="A18" s="23" t="s">
        <v>288</v>
      </c>
    </row>
    <row r="19" customFormat="false" ht="15" hidden="false" customHeight="false" outlineLevel="0" collapsed="false">
      <c r="A19" s="23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2026-10-26T13:25:09Z</dcterms:created>
  <dc:creator>openpyxl</dc:creator>
  <dc:description/>
  <dc:language>en-US</dc:language>
  <cp:lastModifiedBy/>
  <dcterms:modified xsi:type="dcterms:W3CDTF">2026-10-26T13:25:09Z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