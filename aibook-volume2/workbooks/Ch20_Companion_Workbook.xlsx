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Exact vs ANN" sheetId="2" state="visible" r:id="rId4"/>
    <sheet name="ANN Measurements" sheetId="3" state="visible" r:id="rId5"/>
    <sheet name="RRF" sheetId="4" state="visible" r:id="rId6"/>
    <sheet name="Latency Budget" sheetId="5" state="visible" r:id="rId7"/>
    <sheet name="GraphRAG Cost" sheetId="6" state="visible" r:id="rId8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<sst xmlns="http://schemas.openxmlformats.org/spreadsheetml/2006/main" count="279" uniqueCount="218">
  <si>
    <t xml:space="preserve">Chapter 20 — Retrieval Infrastructure and Advanced RAG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</si>
  <si>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</si>
  <si>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</si>
  <si>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</si>
  <si>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</si>
  <si>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Exact vs ANN</t>
  </si>
  <si>
    <t xml:space="preserve">Time and data read per query for exact (flat) search on the benchmark, the reference corpus and ten million chunks, and the memory overhead of HNSW links.</t>
  </si>
  <si>
    <t xml:space="preserve">Section 20.1, Worked Example 20.1</t>
  </si>
  <si>
    <t xml:space="preserve">ANN Measurements</t>
  </si>
  <si>
    <t xml:space="preserve">Recall@10 and query time of exact, HNSW, IVF and product-quantized search as measured, speed-ups, and the memory of product-quantization codes.</t>
  </si>
  <si>
    <t xml:space="preserve">Section 20.1, Figure 20.3, Figure 20.2</t>
  </si>
  <si>
    <t xml:space="preserve">RRF</t>
  </si>
  <si>
    <t xml:space="preserve">Reciprocal rank fusion of a dense and a keyword result list: scores, fused ranks and fused order.</t>
  </si>
  <si>
    <t xml:space="preserve">Section 20.3, Worked Example 20.2</t>
  </si>
  <si>
    <t xml:space="preserve">Latency Budget</t>
  </si>
  <si>
    <t xml:space="preserve">Query embedding, search, reranking, prefill and decode on the Box, total latency, retrieval share and time to first word.</t>
  </si>
  <si>
    <t xml:space="preserve">Section 20.4, Worked Example 20.3</t>
  </si>
  <si>
    <t xml:space="preserve">GraphRAG Cost</t>
  </si>
  <si>
    <t xml:space="preserve">GPU time to extract entities and relations from the reference corpus with a 32B model, against the time to embed it.</t>
  </si>
  <si>
    <t xml:space="preserve">Section 20.6, Worked Example 20.4</t>
  </si>
  <si>
    <t xml:space="preserve">Notes</t>
  </si>
  <si>
    <t xml:space="preserve">Units are decimal (1 GB = 10^9 bytes). FLOP counts use 2 × parameters per token. Times are compute or bandwidth estimates; real engines add overhead.</t>
  </si>
  <si>
    <t xml:space="preserve">The ANN measurements are the points stated in the text for one synthetic data set on one CPU thread; replace them with measurements on a sample of your own embeddings.</t>
  </si>
  <si>
    <t xml:space="preserve">When Exact Search Is Enough (Worked Example 20.1)</t>
  </si>
  <si>
    <t xml:space="preserve">Benchmark vectors (Figure 20.3)</t>
  </si>
  <si>
    <t xml:space="preserve">Benchmark dimensions</t>
  </si>
  <si>
    <t xml:space="preserve">Bytes per element, FP32</t>
  </si>
  <si>
    <t xml:space="preserve">Flat search, batches of 1,000 queries (ms per query)</t>
  </si>
  <si>
    <t xml:space="preserve">Flat search, single query (ms)</t>
  </si>
  <si>
    <t xml:space="preserve">Reference corpus chunks (Worked Example 17.2)</t>
  </si>
  <si>
    <t xml:space="preserve">Reference corpus dimensions</t>
  </si>
  <si>
    <t xml:space="preserve">Large collection chunks</t>
  </si>
  <si>
    <t xml:space="preserve">HNSW links per node M</t>
  </si>
  <si>
    <t xml:space="preserve">Bytes per neighbor identifier</t>
  </si>
  <si>
    <t xml:space="preserve">Bytes per element, int8</t>
  </si>
  <si>
    <t xml:space="preserve">HNSW build time, benchmark index, two cores (s)</t>
  </si>
  <si>
    <t xml:space="preserve">Benchmark (Figure 20.3)</t>
  </si>
  <si>
    <t xml:space="preserve">Multiply-adds per query (millions)</t>
  </si>
  <si>
    <t xml:space="preserve">Value in the book</t>
  </si>
  <si>
    <t xml:space="preserve">77 million</t>
  </si>
  <si>
    <t xml:space="preserve">Batched rate (billion multiply-adds per second)</t>
  </si>
  <si>
    <t xml:space="preserve">about 15 billion</t>
  </si>
  <si>
    <t xml:space="preserve">Single-query read rate (GB/s), memory-bound</t>
  </si>
  <si>
    <t xml:space="preserve">Reference corpus</t>
  </si>
  <si>
    <t xml:space="preserve">686 million</t>
  </si>
  <si>
    <t xml:space="preserve">Data read per query (GB)</t>
  </si>
  <si>
    <t xml:space="preserve">2.7 GB</t>
  </si>
  <si>
    <t xml:space="preserve">Time per query in batches, one core (ms)</t>
  </si>
  <si>
    <t xml:space="preserve">about 46 ms</t>
  </si>
  <si>
    <t xml:space="preserve">Time for an isolated query, one core (s)</t>
  </si>
  <si>
    <t xml:space="preserve">roughly 0.2 s</t>
  </si>
  <si>
    <t xml:space="preserve">Large collection</t>
  </si>
  <si>
    <t xml:space="preserve">Multiply-adds per query (billions)</t>
  </si>
  <si>
    <t xml:space="preserve">10.2 billion</t>
  </si>
  <si>
    <t xml:space="preserve">41 GB</t>
  </si>
  <si>
    <t xml:space="preserve">Time per query in batches, one core (s)</t>
  </si>
  <si>
    <t xml:space="preserve">about 0.7 s</t>
  </si>
  <si>
    <t xml:space="preserve">HNSW memory and build</t>
  </si>
  <si>
    <t xml:space="preserve">Link bytes per vector (2 × M × identifier bytes)</t>
  </si>
  <si>
    <t xml:space="preserve">256 bytes</t>
  </si>
  <si>
    <t xml:space="preserve">Overhead on FP32 vectors</t>
  </si>
  <si>
    <t xml:space="preserve">6%</t>
  </si>
  <si>
    <t xml:space="preserve">Overhead on int8 vectors</t>
  </si>
  <si>
    <t xml:space="preserve">25%</t>
  </si>
  <si>
    <t xml:space="preserve">Build time per 1,000 vectors, two cores (s)</t>
  </si>
  <si>
    <t xml:space="preserve">Build time for the reference corpus, linear lower bound (min)</t>
  </si>
  <si>
    <t xml:space="preserve">Reading: up to about a million chunks on a CPU, exact search is fast enough and has perfect recall; ANN indexes become necessary at tens of millions of vectors or high query rates.</t>
  </si>
  <si>
    <t xml:space="preserve">Batched and single-query times are scaled from the benchmark machine (compute rate and memory read rate). All cores of a server cut them to tens of milliseconds; a GPU to a few. Build time grows somewhat faster than linearly, so the linear figure is a lower bound.</t>
  </si>
  <si>
    <t xml:space="preserve">Recall Against Query Time, Measured (Figure 20.3, Worked Example 20.1)</t>
  </si>
  <si>
    <t xml:space="preserve">Index</t>
  </si>
  <si>
    <t xml:space="preserve">Setting</t>
  </si>
  <si>
    <t xml:space="preserve">Recall@10</t>
  </si>
  <si>
    <t xml:space="preserve">Time per query (ms)</t>
  </si>
  <si>
    <t xml:space="preserve">Speed-up over exact</t>
  </si>
  <si>
    <t xml:space="preserve">Exact (flat)</t>
  </si>
  <si>
    <t xml:space="preserve">—</t>
  </si>
  <si>
    <t xml:space="preserve">HNSW</t>
  </si>
  <si>
    <t xml:space="preserve">M = 32</t>
  </si>
  <si>
    <t xml:space="preserve">IVF-Flat</t>
  </si>
  <si>
    <t xml:space="preserve">1,024 lists</t>
  </si>
  <si>
    <t xml:space="preserve">IVF-PQ</t>
  </si>
  <si>
    <t xml:space="preserve">48-byte codes (plateau)</t>
  </si>
  <si>
    <t xml:space="preserve">IVF-PQ, top 100 rescored</t>
  </si>
  <si>
    <t xml:space="preserve">full vectors</t>
  </si>
  <si>
    <t xml:space="preserve">HNSW speed-up over exact at 99% recall</t>
  </si>
  <si>
    <t xml:space="preserve">0.27 ms against 5.2 ms</t>
  </si>
  <si>
    <t xml:space="preserve">IVF-Flat time ÷ HNSW time at 99% recall</t>
  </si>
  <si>
    <t xml:space="preserve">two and a half times</t>
  </si>
  <si>
    <t xml:space="preserve">Recall restored by rescoring (points)</t>
  </si>
  <si>
    <t xml:space="preserve">67% to 98%</t>
  </si>
  <si>
    <t xml:space="preserve">Product quantization (Figure 20.2)</t>
  </si>
  <si>
    <t xml:space="preserve">Dimensions</t>
  </si>
  <si>
    <t xml:space="preserve">Centroids per codebook</t>
  </si>
  <si>
    <t xml:space="preserve">Sub-vectors m, as drawn in Figure 20.2</t>
  </si>
  <si>
    <t xml:space="preserve">Sub-vectors m, as measured in Figure 20.3</t>
  </si>
  <si>
    <t xml:space="preserve">Vectors in the benchmark</t>
  </si>
  <si>
    <t xml:space="preserve">FP32 vector (bytes)</t>
  </si>
  <si>
    <t xml:space="preserve">1,536 bytes</t>
  </si>
  <si>
    <t xml:space="preserve">Bytes per sub-vector code (log2 of centroids ÷ 8)</t>
  </si>
  <si>
    <t xml:space="preserve">PQ code with the small m (bytes)</t>
  </si>
  <si>
    <t xml:space="preserve">8 bytes</t>
  </si>
  <si>
    <t xml:space="preserve">PQ code with the large m (bytes)</t>
  </si>
  <si>
    <t xml:space="preserve">48 bytes</t>
  </si>
  <si>
    <t xml:space="preserve">Compression, small m (×)</t>
  </si>
  <si>
    <t xml:space="preserve">Compression, large m (×)</t>
  </si>
  <si>
    <t xml:space="preserve">Flat index memory (MB)</t>
  </si>
  <si>
    <t xml:space="preserve">HNSW index memory, vectors plus links (MB)</t>
  </si>
  <si>
    <t xml:space="preserve">IVF-PQ codes, large m (MB)</t>
  </si>
  <si>
    <t xml:space="preserve">Reading: each index has a knob that trades recall for time, and quantized distances plateau unless a shortlist is rescored with full-precision vectors.</t>
  </si>
  <si>
    <t xml:space="preserve">The rows are the points stated in the text (synthetic, clustered, unit-length vectors; FAISS on one CPU thread). Times of the PQ rows are not stated. Replace the blue cells with your own measurements.</t>
  </si>
  <si>
    <t xml:space="preserve">Codebooks and IVF centroids are excluded from the memory figures; they are small beside the codes.</t>
  </si>
  <si>
    <t xml:space="preserve">Reciprocal Rank Fusion (Worked Example 20.2)</t>
  </si>
  <si>
    <t xml:space="preserve">RRF constant k</t>
  </si>
  <si>
    <t xml:space="preserve">Rank</t>
  </si>
  <si>
    <t xml:space="preserve">Dense search</t>
  </si>
  <si>
    <t xml:space="preserve">Keyword search</t>
  </si>
  <si>
    <t xml:space="preserve">A</t>
  </si>
  <si>
    <t xml:space="preserve">C</t>
  </si>
  <si>
    <t xml:space="preserve">B</t>
  </si>
  <si>
    <t xml:space="preserve">F</t>
  </si>
  <si>
    <t xml:space="preserve">G</t>
  </si>
  <si>
    <t xml:space="preserve">D</t>
  </si>
  <si>
    <t xml:space="preserve">H</t>
  </si>
  <si>
    <t xml:space="preserve">E</t>
  </si>
  <si>
    <t xml:space="preserve">Chunk</t>
  </si>
  <si>
    <t xml:space="preserve">Dense rank</t>
  </si>
  <si>
    <t xml:space="preserve">Keyword rank</t>
  </si>
  <si>
    <t xml:space="preserve">RRF score</t>
  </si>
  <si>
    <t xml:space="preserve">Fused rank</t>
  </si>
  <si>
    <t xml:space="preserve">Sort key (helper)</t>
  </si>
  <si>
    <t xml:space="preserve">0.0318</t>
  </si>
  <si>
    <t xml:space="preserve">0.0161</t>
  </si>
  <si>
    <t xml:space="preserve">0.0323</t>
  </si>
  <si>
    <t xml:space="preserve">0.0156</t>
  </si>
  <si>
    <t xml:space="preserve">0.0154</t>
  </si>
  <si>
    <t xml:space="preserve">0.0159</t>
  </si>
  <si>
    <t xml:space="preserve">Fused position</t>
  </si>
  <si>
    <t xml:space="preserve">C, A, B and F tied, G, D and H tied, E</t>
  </si>
  <si>
    <t xml:space="preserve">Reading: C, third by meaning but first by keywords, takes first place; A, first by meaning but fifth by keywords, drops to second. With k = 60, agreement between retrievers matters more than position within one.</t>
  </si>
  <si>
    <t xml:space="preserve">List every chunk that appears in either result list in column A of the score table. Equal fused ranks are ties; the helper column only fixes the display order of tied chunks.</t>
  </si>
  <si>
    <t xml:space="preserve">A Retrieval Latency Budget on the Box (Worked Example 20.3)</t>
  </si>
  <si>
    <t xml:space="preserve">Effective compute, compute-bound work (TFLOP/s)</t>
  </si>
  <si>
    <t xml:space="preserve">Memory bandwidth, RTX PRO 4000 Blackwell (GB/s)</t>
  </si>
  <si>
    <t xml:space="preserve">Embedder parameters, Qwen3-Embedding-0.6B (billions)</t>
  </si>
  <si>
    <t xml:space="preserve">Query tokens</t>
  </si>
  <si>
    <t xml:space="preserve">Embedder weights read per query, BF16, excl. embedding table (GB)</t>
  </si>
  <si>
    <t xml:space="preserve">Embedding overhead (ms) — assumption for 'with overhead'</t>
  </si>
  <si>
    <t xml:space="preserve">Dense HNSW search (ms) — book: under 1 ms</t>
  </si>
  <si>
    <t xml:space="preserve">BM25 search (ms) — assumption for 'a few milliseconds'</t>
  </si>
  <si>
    <t xml:space="preserve">Fusion (ms)</t>
  </si>
  <si>
    <t xml:space="preserve">Reranker parameters, Qwen3-Reranker-0.6B (billions)</t>
  </si>
  <si>
    <t xml:space="preserve">Candidates reranked</t>
  </si>
  <si>
    <t xml:space="preserve">Tokens per candidate</t>
  </si>
  <si>
    <t xml:space="preserve">Prompt tokens (instructions, question, best 8 chunks)</t>
  </si>
  <si>
    <t xml:space="preserve">Generator compute per prompt token, Llama 3.1 8B (GFLOP; Worked Example 13.5)</t>
  </si>
  <si>
    <t xml:space="preserve">Prefill attention (TFLOP; Worked Example 13.5)</t>
  </si>
  <si>
    <t xml:space="preserve">Output tokens</t>
  </si>
  <si>
    <t xml:space="preserve">Decode speed (tokens/s)</t>
  </si>
  <si>
    <t xml:space="preserve">Query embedding compute (FLOP)</t>
  </si>
  <si>
    <t xml:space="preserve">3.6 × 10¹⁰</t>
  </si>
  <si>
    <t xml:space="preserve">Embedding compute time (ms)</t>
  </si>
  <si>
    <t xml:space="preserve">under 1 ms</t>
  </si>
  <si>
    <t xml:space="preserve">Embedder weight read time (ms)</t>
  </si>
  <si>
    <t xml:space="preserve">about 1.3 ms</t>
  </si>
  <si>
    <t xml:space="preserve">Embedding step (ms)</t>
  </si>
  <si>
    <t xml:space="preserve">a few milliseconds</t>
  </si>
  <si>
    <t xml:space="preserve">Search and fusion (ms)</t>
  </si>
  <si>
    <t xml:space="preserve">under 1 ms + a few ms</t>
  </si>
  <si>
    <t xml:space="preserve">Reranking compute (FLOP)</t>
  </si>
  <si>
    <t xml:space="preserve">1.8 × 10¹³</t>
  </si>
  <si>
    <t xml:space="preserve">Reranking time (s)</t>
  </si>
  <si>
    <t xml:space="preserve">about 0.4 s</t>
  </si>
  <si>
    <t xml:space="preserve">Prefill compute (TFLOP)</t>
  </si>
  <si>
    <t xml:space="preserve">(75 + 6.6) × 10¹² FLOP</t>
  </si>
  <si>
    <t xml:space="preserve">Prefill time (s)</t>
  </si>
  <si>
    <t xml:space="preserve">≈ 1.6 s</t>
  </si>
  <si>
    <t xml:space="preserve">Decode time (s)</t>
  </si>
  <si>
    <t xml:space="preserve">3.3 s</t>
  </si>
  <si>
    <t xml:space="preserve">Retrieval and reranking (s)</t>
  </si>
  <si>
    <t xml:space="preserve">Total latency (s)</t>
  </si>
  <si>
    <t xml:space="preserve">about 5.3 s</t>
  </si>
  <si>
    <t xml:space="preserve">Retrieval and reranking share</t>
  </si>
  <si>
    <t xml:space="preserve">about 7%</t>
  </si>
  <si>
    <t xml:space="preserve">First words with streaming (s)</t>
  </si>
  <si>
    <t xml:space="preserve">about 2 s</t>
  </si>
  <si>
    <t xml:space="preserve">Reading: the generator dominates latency and cost; retrieval improvements are almost free by comparison.</t>
  </si>
  <si>
    <t xml:space="preserve">FLOP per token is 2 × parameters (1.2 × 10⁹ for the 0.6B reranker). The embedding step is the larger of compute and weight-read time plus overhead. The two search times and the overhead are assumptions where the book says 'under 1 ms' and 'a few milliseconds'; they barely affect the total.</t>
  </si>
  <si>
    <t xml:space="preserve">The Indexing Cost of GraphRAG (Worked Example 20.4)</t>
  </si>
  <si>
    <t xml:space="preserve">Reference corpus chunks</t>
  </si>
  <si>
    <t xml:space="preserve">Share of the corpus indexed with GraphRAG</t>
  </si>
  <si>
    <t xml:space="preserve">Extraction prompt tokens per chunk</t>
  </si>
  <si>
    <t xml:space="preserve">Extraction output tokens per chunk</t>
  </si>
  <si>
    <t xml:space="preserve">Model parameters, Qwen3-32B (billions)</t>
  </si>
  <si>
    <t xml:space="preserve">Effective prefill rate, FP8, RTX PRO 6000 (TFLOP/s)</t>
  </si>
  <si>
    <t xml:space="preserve">Output rate with batching (tokens/s)</t>
  </si>
  <si>
    <t xml:space="preserve">FLOP to embed the corpus with a 0.6B model (Worked Example 19.4)</t>
  </si>
  <si>
    <t xml:space="preserve">Workstation GPU effective rate, BF16 (TFLOP/s; Worked Example 19.4)</t>
  </si>
  <si>
    <t xml:space="preserve">RTX PRO 6000 rate in BF16, half the FP8 rate (TFLOP/s; Worked Example 21.3)</t>
  </si>
  <si>
    <t xml:space="preserve">Chunks indexed</t>
  </si>
  <si>
    <t xml:space="preserve">Prompt tokens</t>
  </si>
  <si>
    <t xml:space="preserve">1.0 × 10⁹</t>
  </si>
  <si>
    <t xml:space="preserve">Prompt compute (FLOP)</t>
  </si>
  <si>
    <t xml:space="preserve">6.6 × 10¹⁹</t>
  </si>
  <si>
    <t xml:space="preserve">Prompt time (hours)</t>
  </si>
  <si>
    <t xml:space="preserve">about 46 hours</t>
  </si>
  <si>
    <t xml:space="preserve">2.7 × 10⁸</t>
  </si>
  <si>
    <t xml:space="preserve">Output time (hours)</t>
  </si>
  <si>
    <t xml:space="preserve">about 50 hours</t>
  </si>
  <si>
    <t xml:space="preserve">Total extraction time (hours)</t>
  </si>
  <si>
    <t xml:space="preserve">Total extraction time (days of one GPU)</t>
  </si>
  <si>
    <t xml:space="preserve">roughly four days</t>
  </si>
  <si>
    <t xml:space="preserve">Embedding the corpus on a workstation GPU (hours)</t>
  </si>
  <si>
    <t xml:space="preserve">2.3 hours</t>
  </si>
  <si>
    <t xml:space="preserve">Embedding the corpus on the RTX PRO 6000 (hours)</t>
  </si>
  <si>
    <t xml:space="preserve">well under an hour</t>
  </si>
  <si>
    <t xml:space="preserve">GraphRAG extraction ÷ workstation embedding (×)</t>
  </si>
  <si>
    <t xml:space="preserve">Reading: full GraphRAG over a whole corporate corpus is a substantial investment; applying it to a selected sub-corpus (lower the share) or using a lazy variant changes the arithmetic.</t>
  </si>
  <si>
    <t xml:space="preserve">Community summaries are excluded, as in the book. Embedding time scales the whole corpus; it is not reduced by the share.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</si>
</sst>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"/>
    <numFmt numFmtId="167" formatCode="0.0"/>
    <numFmt numFmtId="168" formatCode="0.00"/>
    <numFmt numFmtId="169" formatCode="0.0%"/>
    <numFmt numFmtId="170" formatCode="0.000"/>
    <numFmt numFmtId="171" formatCode="0%"/>
    <numFmt numFmtId="172" formatCode="0.0000"/>
    <numFmt numFmtId="173" formatCode="0.000000"/>
    <numFmt numFmtId="174" formatCode="0.0E+00"/>
    <numFmt numFmtId="175" formatCode="0.0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23.8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23.8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23.8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23.85" hidden="false" customHeight="false" outlineLevel="0" collapsed="false">
      <c r="A9" s="4" t="s">
        <v>17</v>
      </c>
      <c r="B9" s="5" t="s">
        <v>18</v>
      </c>
      <c r="C9" s="5" t="s">
        <v>19</v>
      </c>
    </row>
    <row r="11" customFormat="false" ht="15" hidden="false" customHeight="false" outlineLevel="0" collapsed="false">
      <c r="A11" s="4" t="s">
        <v>20</v>
      </c>
    </row>
    <row r="12" customFormat="false" ht="30" hidden="false" customHeight="true" outlineLevel="0" collapsed="false">
      <c r="A12" s="6" t="s">
        <v>21</v>
      </c>
      <c r="B12" s="6"/>
      <c r="C12" s="6"/>
    </row>
    <row r="13" customFormat="false" ht="30" hidden="false" customHeight="true" outlineLevel="0" collapsed="false">
      <c r="A13" s="6" t="s">
        <v>22</v>
      </c>
      <c r="B13" s="6"/>
      <c r="C13" s="6"/>
    </row>
  </sheetData>
  <mergeCells count="3">
    <mergeCell ref="A2:C2"/>
    <mergeCell ref="A12:C1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7" t="s">
        <v>23</v>
      </c>
    </row>
    <row r="3" customFormat="false" ht="15" hidden="false" customHeight="false" outlineLevel="0" collapsed="false">
      <c r="A3" s="8" t="s">
        <v>24</v>
      </c>
      <c r="B3" s="9" t="n">
        <v>200000</v>
      </c>
    </row>
    <row r="4" customFormat="false" ht="15" hidden="false" customHeight="false" outlineLevel="0" collapsed="false">
      <c r="A4" s="8" t="s">
        <v>25</v>
      </c>
      <c r="B4" s="9" t="n">
        <v>384</v>
      </c>
    </row>
    <row r="5" customFormat="false" ht="15" hidden="false" customHeight="false" outlineLevel="0" collapsed="false">
      <c r="A5" s="8" t="s">
        <v>26</v>
      </c>
      <c r="B5" s="10" t="n">
        <v>4</v>
      </c>
    </row>
    <row r="6" customFormat="false" ht="15" hidden="false" customHeight="false" outlineLevel="0" collapsed="false">
      <c r="A6" s="8" t="s">
        <v>27</v>
      </c>
      <c r="B6" s="11" t="n">
        <v>5.2</v>
      </c>
    </row>
    <row r="7" customFormat="false" ht="15" hidden="false" customHeight="false" outlineLevel="0" collapsed="false">
      <c r="A7" s="8" t="s">
        <v>28</v>
      </c>
      <c r="B7" s="11" t="n">
        <v>25</v>
      </c>
    </row>
    <row r="8" customFormat="false" ht="15" hidden="false" customHeight="false" outlineLevel="0" collapsed="false">
      <c r="A8" s="8" t="s">
        <v>29</v>
      </c>
      <c r="B8" s="9" t="n">
        <v>670000</v>
      </c>
    </row>
    <row r="9" customFormat="false" ht="15" hidden="false" customHeight="false" outlineLevel="0" collapsed="false">
      <c r="A9" s="8" t="s">
        <v>30</v>
      </c>
      <c r="B9" s="9" t="n">
        <v>1024</v>
      </c>
    </row>
    <row r="10" customFormat="false" ht="15" hidden="false" customHeight="false" outlineLevel="0" collapsed="false">
      <c r="A10" s="8" t="s">
        <v>31</v>
      </c>
      <c r="B10" s="9" t="n">
        <v>10000000</v>
      </c>
    </row>
    <row r="11" customFormat="false" ht="15" hidden="false" customHeight="false" outlineLevel="0" collapsed="false">
      <c r="A11" s="8" t="s">
        <v>32</v>
      </c>
      <c r="B11" s="10" t="n">
        <v>32</v>
      </c>
    </row>
    <row r="12" customFormat="false" ht="15" hidden="false" customHeight="false" outlineLevel="0" collapsed="false">
      <c r="A12" s="8" t="s">
        <v>33</v>
      </c>
      <c r="B12" s="10" t="n">
        <v>4</v>
      </c>
    </row>
    <row r="13" customFormat="false" ht="15" hidden="false" customHeight="false" outlineLevel="0" collapsed="false">
      <c r="A13" s="8" t="s">
        <v>34</v>
      </c>
      <c r="B13" s="10" t="n">
        <v>1</v>
      </c>
    </row>
    <row r="14" customFormat="false" ht="15" hidden="false" customHeight="false" outlineLevel="0" collapsed="false">
      <c r="A14" s="8" t="s">
        <v>35</v>
      </c>
      <c r="B14" s="10" t="n">
        <v>67</v>
      </c>
    </row>
    <row r="16" customFormat="false" ht="15" hidden="false" customHeight="false" outlineLevel="0" collapsed="false">
      <c r="A16" s="4" t="s">
        <v>36</v>
      </c>
    </row>
    <row r="17" customFormat="false" ht="15" hidden="false" customHeight="false" outlineLevel="0" collapsed="false">
      <c r="A17" s="12" t="s">
        <v>37</v>
      </c>
      <c r="B17" s="13" t="n">
        <f aca="false">B3*B4/10^6</f>
        <v>76.8</v>
      </c>
    </row>
    <row r="18" customFormat="false" ht="15" hidden="false" customHeight="false" outlineLevel="0" collapsed="false">
      <c r="A18" s="14" t="s">
        <v>38</v>
      </c>
      <c r="B18" s="15" t="s">
        <v>39</v>
      </c>
    </row>
    <row r="19" customFormat="false" ht="15" hidden="false" customHeight="false" outlineLevel="0" collapsed="false">
      <c r="A19" s="12" t="s">
        <v>40</v>
      </c>
      <c r="B19" s="13" t="n">
        <f aca="false">B3*B4/(B6/1000)/10^9</f>
        <v>14.7692307692308</v>
      </c>
    </row>
    <row r="20" customFormat="false" ht="15" hidden="false" customHeight="false" outlineLevel="0" collapsed="false">
      <c r="A20" s="14" t="s">
        <v>38</v>
      </c>
      <c r="B20" s="15" t="s">
        <v>41</v>
      </c>
    </row>
    <row r="21" customFormat="false" ht="15" hidden="false" customHeight="false" outlineLevel="0" collapsed="false">
      <c r="A21" s="12" t="s">
        <v>42</v>
      </c>
      <c r="B21" s="13" t="n">
        <f aca="false">B3*B4*B5/(B7/1000)/10^9</f>
        <v>12.288</v>
      </c>
    </row>
    <row r="22" customFormat="false" ht="15" hidden="false" customHeight="false" outlineLevel="0" collapsed="false">
      <c r="A22" s="4" t="s">
        <v>43</v>
      </c>
    </row>
    <row r="23" customFormat="false" ht="15" hidden="false" customHeight="false" outlineLevel="0" collapsed="false">
      <c r="A23" s="12" t="s">
        <v>37</v>
      </c>
      <c r="B23" s="13" t="n">
        <f aca="false">B8*B9/10^6</f>
        <v>686.08</v>
      </c>
    </row>
    <row r="24" customFormat="false" ht="15" hidden="false" customHeight="false" outlineLevel="0" collapsed="false">
      <c r="A24" s="14" t="s">
        <v>38</v>
      </c>
      <c r="B24" s="15" t="s">
        <v>44</v>
      </c>
    </row>
    <row r="25" customFormat="false" ht="15" hidden="false" customHeight="false" outlineLevel="0" collapsed="false">
      <c r="A25" s="12" t="s">
        <v>45</v>
      </c>
      <c r="B25" s="16" t="n">
        <f aca="false">B8*B9*B5/10^9</f>
        <v>2.74432</v>
      </c>
    </row>
    <row r="26" customFormat="false" ht="15" hidden="false" customHeight="false" outlineLevel="0" collapsed="false">
      <c r="A26" s="14" t="s">
        <v>38</v>
      </c>
      <c r="B26" s="15" t="s">
        <v>46</v>
      </c>
    </row>
    <row r="27" customFormat="false" ht="15" hidden="false" customHeight="false" outlineLevel="0" collapsed="false">
      <c r="A27" s="12" t="s">
        <v>47</v>
      </c>
      <c r="B27" s="13" t="n">
        <f aca="false">B23*10^6/(B19*10^9)*1000</f>
        <v>46.4533333333333</v>
      </c>
    </row>
    <row r="28" customFormat="false" ht="15" hidden="false" customHeight="false" outlineLevel="0" collapsed="false">
      <c r="A28" s="14" t="s">
        <v>38</v>
      </c>
      <c r="B28" s="15" t="s">
        <v>48</v>
      </c>
    </row>
    <row r="29" customFormat="false" ht="15" hidden="false" customHeight="false" outlineLevel="0" collapsed="false">
      <c r="A29" s="12" t="s">
        <v>49</v>
      </c>
      <c r="B29" s="16" t="n">
        <f aca="false">B25/B21</f>
        <v>0.223333333333333</v>
      </c>
    </row>
    <row r="30" customFormat="false" ht="15" hidden="false" customHeight="false" outlineLevel="0" collapsed="false">
      <c r="A30" s="14" t="s">
        <v>38</v>
      </c>
      <c r="B30" s="15" t="s">
        <v>50</v>
      </c>
    </row>
    <row r="31" customFormat="false" ht="15" hidden="false" customHeight="false" outlineLevel="0" collapsed="false">
      <c r="A31" s="4" t="s">
        <v>51</v>
      </c>
    </row>
    <row r="32" customFormat="false" ht="15" hidden="false" customHeight="false" outlineLevel="0" collapsed="false">
      <c r="A32" s="12" t="s">
        <v>52</v>
      </c>
      <c r="B32" s="16" t="n">
        <f aca="false">B10*B9/10^9</f>
        <v>10.24</v>
      </c>
    </row>
    <row r="33" customFormat="false" ht="15" hidden="false" customHeight="false" outlineLevel="0" collapsed="false">
      <c r="A33" s="14" t="s">
        <v>38</v>
      </c>
      <c r="B33" s="15" t="s">
        <v>53</v>
      </c>
    </row>
    <row r="34" customFormat="false" ht="15" hidden="false" customHeight="false" outlineLevel="0" collapsed="false">
      <c r="A34" s="12" t="s">
        <v>45</v>
      </c>
      <c r="B34" s="13" t="n">
        <f aca="false">B10*B9*B5/10^9</f>
        <v>40.96</v>
      </c>
    </row>
    <row r="35" customFormat="false" ht="15" hidden="false" customHeight="false" outlineLevel="0" collapsed="false">
      <c r="A35" s="14" t="s">
        <v>38</v>
      </c>
      <c r="B35" s="15" t="s">
        <v>54</v>
      </c>
    </row>
    <row r="36" customFormat="false" ht="15" hidden="false" customHeight="false" outlineLevel="0" collapsed="false">
      <c r="A36" s="12" t="s">
        <v>55</v>
      </c>
      <c r="B36" s="16" t="n">
        <f aca="false">B32/B19</f>
        <v>0.693333333333333</v>
      </c>
    </row>
    <row r="37" customFormat="false" ht="15" hidden="false" customHeight="false" outlineLevel="0" collapsed="false">
      <c r="A37" s="14" t="s">
        <v>38</v>
      </c>
      <c r="B37" s="15" t="s">
        <v>56</v>
      </c>
    </row>
    <row r="38" customFormat="false" ht="15" hidden="false" customHeight="false" outlineLevel="0" collapsed="false">
      <c r="A38" s="12" t="s">
        <v>49</v>
      </c>
      <c r="B38" s="13" t="n">
        <f aca="false">B34/B21</f>
        <v>3.33333333333333</v>
      </c>
    </row>
    <row r="39" customFormat="false" ht="15" hidden="false" customHeight="false" outlineLevel="0" collapsed="false">
      <c r="A39" s="4" t="s">
        <v>57</v>
      </c>
    </row>
    <row r="40" customFormat="false" ht="15" hidden="false" customHeight="false" outlineLevel="0" collapsed="false">
      <c r="A40" s="12" t="s">
        <v>58</v>
      </c>
      <c r="B40" s="17" t="n">
        <f aca="false">2*B11*B12</f>
        <v>256</v>
      </c>
    </row>
    <row r="41" customFormat="false" ht="15" hidden="false" customHeight="false" outlineLevel="0" collapsed="false">
      <c r="A41" s="14" t="s">
        <v>38</v>
      </c>
      <c r="B41" s="15" t="s">
        <v>59</v>
      </c>
    </row>
    <row r="42" customFormat="false" ht="15" hidden="false" customHeight="false" outlineLevel="0" collapsed="false">
      <c r="A42" s="12" t="s">
        <v>60</v>
      </c>
      <c r="B42" s="18" t="n">
        <f aca="false">B40/(B9*B5)</f>
        <v>0.0625</v>
      </c>
    </row>
    <row r="43" customFormat="false" ht="15" hidden="false" customHeight="false" outlineLevel="0" collapsed="false">
      <c r="A43" s="14" t="s">
        <v>38</v>
      </c>
      <c r="B43" s="15" t="s">
        <v>61</v>
      </c>
    </row>
    <row r="44" customFormat="false" ht="15" hidden="false" customHeight="false" outlineLevel="0" collapsed="false">
      <c r="A44" s="12" t="s">
        <v>62</v>
      </c>
      <c r="B44" s="18" t="n">
        <f aca="false">B40/(B9*B13)</f>
        <v>0.25</v>
      </c>
    </row>
    <row r="45" customFormat="false" ht="15" hidden="false" customHeight="false" outlineLevel="0" collapsed="false">
      <c r="A45" s="14" t="s">
        <v>38</v>
      </c>
      <c r="B45" s="15" t="s">
        <v>63</v>
      </c>
    </row>
    <row r="46" customFormat="false" ht="15" hidden="false" customHeight="false" outlineLevel="0" collapsed="false">
      <c r="A46" s="12" t="s">
        <v>64</v>
      </c>
      <c r="B46" s="19" t="n">
        <f aca="false">B14/B3*1000</f>
        <v>0.335</v>
      </c>
    </row>
    <row r="47" customFormat="false" ht="15" hidden="false" customHeight="false" outlineLevel="0" collapsed="false">
      <c r="A47" s="12" t="s">
        <v>65</v>
      </c>
      <c r="B47" s="13" t="n">
        <f aca="false">B14*B8/B3/60</f>
        <v>3.74083333333333</v>
      </c>
    </row>
    <row r="49" customFormat="false" ht="15" hidden="false" customHeight="false" outlineLevel="0" collapsed="false">
      <c r="A49" s="20" t="s">
        <v>66</v>
      </c>
    </row>
    <row r="50" customFormat="false" ht="15" hidden="false" customHeight="false" outlineLevel="0" collapsed="false">
      <c r="A50" s="2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6"/>
  </cols>
  <sheetData>
    <row r="1" customFormat="false" ht="16.15" hidden="false" customHeight="false" outlineLevel="0" collapsed="false">
      <c r="A1" s="7" t="s">
        <v>68</v>
      </c>
    </row>
    <row r="3" customFormat="false" ht="23.85" hidden="false" customHeight="false" outlineLevel="0" collapsed="false">
      <c r="A3" s="21" t="s">
        <v>69</v>
      </c>
      <c r="B3" s="21" t="s">
        <v>70</v>
      </c>
      <c r="C3" s="21" t="s">
        <v>71</v>
      </c>
      <c r="D3" s="21" t="s">
        <v>72</v>
      </c>
      <c r="E3" s="21" t="s">
        <v>73</v>
      </c>
    </row>
    <row r="4" customFormat="false" ht="15" hidden="false" customHeight="false" outlineLevel="0" collapsed="false">
      <c r="A4" s="8" t="s">
        <v>74</v>
      </c>
      <c r="B4" s="22" t="s">
        <v>75</v>
      </c>
      <c r="C4" s="23" t="n">
        <v>1</v>
      </c>
      <c r="D4" s="24" t="n">
        <v>5.2</v>
      </c>
      <c r="E4" s="25" t="n">
        <f aca="false">IF(ISNUMBER(D4),$D$4/D4,"not stated")</f>
        <v>1</v>
      </c>
    </row>
    <row r="5" customFormat="false" ht="15" hidden="false" customHeight="false" outlineLevel="0" collapsed="false">
      <c r="A5" s="8" t="s">
        <v>76</v>
      </c>
      <c r="B5" s="22" t="s">
        <v>77</v>
      </c>
      <c r="C5" s="23" t="n">
        <v>0.99</v>
      </c>
      <c r="D5" s="24" t="n">
        <v>0.27</v>
      </c>
      <c r="E5" s="25" t="n">
        <f aca="false">IF(ISNUMBER(D5),$D$4/D5,"not stated")</f>
        <v>19.2592592592593</v>
      </c>
    </row>
    <row r="6" customFormat="false" ht="15" hidden="false" customHeight="false" outlineLevel="0" collapsed="false">
      <c r="A6" s="8" t="s">
        <v>78</v>
      </c>
      <c r="B6" s="22" t="s">
        <v>79</v>
      </c>
      <c r="C6" s="23" t="n">
        <v>0.99</v>
      </c>
      <c r="D6" s="24" t="n">
        <v>0.7</v>
      </c>
      <c r="E6" s="25" t="n">
        <f aca="false">IF(ISNUMBER(D6),$D$4/D6,"not stated")</f>
        <v>7.42857142857143</v>
      </c>
    </row>
    <row r="7" customFormat="false" ht="15" hidden="false" customHeight="false" outlineLevel="0" collapsed="false">
      <c r="A7" s="8" t="s">
        <v>80</v>
      </c>
      <c r="B7" s="22" t="s">
        <v>81</v>
      </c>
      <c r="C7" s="23" t="n">
        <v>0.67</v>
      </c>
      <c r="D7" s="24"/>
      <c r="E7" s="25" t="str">
        <f aca="false">IF(ISNUMBER(D7),$D$4/D7,"not stated")</f>
        <v>not stated</v>
      </c>
    </row>
    <row r="8" customFormat="false" ht="15" hidden="false" customHeight="false" outlineLevel="0" collapsed="false">
      <c r="A8" s="8" t="s">
        <v>82</v>
      </c>
      <c r="B8" s="22" t="s">
        <v>83</v>
      </c>
      <c r="C8" s="23" t="n">
        <v>0.98</v>
      </c>
      <c r="D8" s="24"/>
      <c r="E8" s="25" t="str">
        <f aca="false">IF(ISNUMBER(D8),$D$4/D8,"not stated")</f>
        <v>not stated</v>
      </c>
    </row>
    <row r="10" customFormat="false" ht="15" hidden="false" customHeight="false" outlineLevel="0" collapsed="false">
      <c r="A10" s="12" t="s">
        <v>84</v>
      </c>
      <c r="B10" s="13" t="n">
        <f aca="false">D4/D5</f>
        <v>19.2592592592593</v>
      </c>
    </row>
    <row r="11" customFormat="false" ht="15" hidden="false" customHeight="false" outlineLevel="0" collapsed="false">
      <c r="A11" s="14" t="s">
        <v>38</v>
      </c>
      <c r="B11" s="15" t="s">
        <v>85</v>
      </c>
    </row>
    <row r="12" customFormat="false" ht="15" hidden="false" customHeight="false" outlineLevel="0" collapsed="false">
      <c r="A12" s="12" t="s">
        <v>86</v>
      </c>
      <c r="B12" s="16" t="n">
        <f aca="false">D6/D5</f>
        <v>2.59259259259259</v>
      </c>
    </row>
    <row r="13" customFormat="false" ht="15" hidden="false" customHeight="false" outlineLevel="0" collapsed="false">
      <c r="A13" s="14" t="s">
        <v>38</v>
      </c>
      <c r="B13" s="15" t="s">
        <v>87</v>
      </c>
    </row>
    <row r="14" customFormat="false" ht="15" hidden="false" customHeight="false" outlineLevel="0" collapsed="false">
      <c r="A14" s="12" t="s">
        <v>88</v>
      </c>
      <c r="B14" s="17" t="n">
        <f aca="false">(C8-C7)*100</f>
        <v>31</v>
      </c>
    </row>
    <row r="15" customFormat="false" ht="15" hidden="false" customHeight="false" outlineLevel="0" collapsed="false">
      <c r="A15" s="14" t="s">
        <v>38</v>
      </c>
      <c r="B15" s="15" t="s">
        <v>89</v>
      </c>
    </row>
    <row r="17" customFormat="false" ht="15" hidden="false" customHeight="false" outlineLevel="0" collapsed="false">
      <c r="A17" s="4" t="s">
        <v>90</v>
      </c>
    </row>
    <row r="18" customFormat="false" ht="15" hidden="false" customHeight="false" outlineLevel="0" collapsed="false">
      <c r="A18" s="8" t="s">
        <v>91</v>
      </c>
      <c r="B18" s="10" t="n">
        <v>384</v>
      </c>
    </row>
    <row r="19" customFormat="false" ht="15" hidden="false" customHeight="false" outlineLevel="0" collapsed="false">
      <c r="A19" s="8" t="s">
        <v>26</v>
      </c>
      <c r="B19" s="10" t="n">
        <v>4</v>
      </c>
    </row>
    <row r="20" customFormat="false" ht="15" hidden="false" customHeight="false" outlineLevel="0" collapsed="false">
      <c r="A20" s="8" t="s">
        <v>92</v>
      </c>
      <c r="B20" s="10" t="n">
        <v>256</v>
      </c>
    </row>
    <row r="21" customFormat="false" ht="15" hidden="false" customHeight="false" outlineLevel="0" collapsed="false">
      <c r="A21" s="8" t="s">
        <v>93</v>
      </c>
      <c r="B21" s="10" t="n">
        <v>8</v>
      </c>
    </row>
    <row r="22" customFormat="false" ht="15" hidden="false" customHeight="false" outlineLevel="0" collapsed="false">
      <c r="A22" s="8" t="s">
        <v>94</v>
      </c>
      <c r="B22" s="10" t="n">
        <v>48</v>
      </c>
    </row>
    <row r="23" customFormat="false" ht="15" hidden="false" customHeight="false" outlineLevel="0" collapsed="false">
      <c r="A23" s="8" t="s">
        <v>95</v>
      </c>
      <c r="B23" s="9" t="n">
        <v>200000</v>
      </c>
    </row>
    <row r="24" customFormat="false" ht="15" hidden="false" customHeight="false" outlineLevel="0" collapsed="false">
      <c r="A24" s="8" t="s">
        <v>32</v>
      </c>
      <c r="B24" s="10" t="n">
        <v>32</v>
      </c>
    </row>
    <row r="25" customFormat="false" ht="15" hidden="false" customHeight="false" outlineLevel="0" collapsed="false">
      <c r="A25" s="12" t="s">
        <v>96</v>
      </c>
      <c r="B25" s="26" t="n">
        <f aca="false">B18*B19</f>
        <v>1536</v>
      </c>
    </row>
    <row r="26" customFormat="false" ht="15" hidden="false" customHeight="false" outlineLevel="0" collapsed="false">
      <c r="A26" s="14" t="s">
        <v>38</v>
      </c>
      <c r="B26" s="15" t="s">
        <v>97</v>
      </c>
    </row>
    <row r="27" customFormat="false" ht="15" hidden="false" customHeight="false" outlineLevel="0" collapsed="false">
      <c r="A27" s="12" t="s">
        <v>98</v>
      </c>
      <c r="B27" s="17" t="n">
        <f aca="false">LOG(B20,2)/8</f>
        <v>1</v>
      </c>
    </row>
    <row r="28" customFormat="false" ht="15" hidden="false" customHeight="false" outlineLevel="0" collapsed="false">
      <c r="A28" s="12" t="s">
        <v>99</v>
      </c>
      <c r="B28" s="17" t="n">
        <f aca="false">B21*B27</f>
        <v>8</v>
      </c>
    </row>
    <row r="29" customFormat="false" ht="15" hidden="false" customHeight="false" outlineLevel="0" collapsed="false">
      <c r="A29" s="14" t="s">
        <v>38</v>
      </c>
      <c r="B29" s="15" t="s">
        <v>100</v>
      </c>
    </row>
    <row r="30" customFormat="false" ht="15" hidden="false" customHeight="false" outlineLevel="0" collapsed="false">
      <c r="A30" s="12" t="s">
        <v>101</v>
      </c>
      <c r="B30" s="17" t="n">
        <f aca="false">B22*B27</f>
        <v>48</v>
      </c>
    </row>
    <row r="31" customFormat="false" ht="15" hidden="false" customHeight="false" outlineLevel="0" collapsed="false">
      <c r="A31" s="14" t="s">
        <v>38</v>
      </c>
      <c r="B31" s="15" t="s">
        <v>102</v>
      </c>
    </row>
    <row r="32" customFormat="false" ht="15" hidden="false" customHeight="false" outlineLevel="0" collapsed="false">
      <c r="A32" s="12" t="s">
        <v>103</v>
      </c>
      <c r="B32" s="17" t="n">
        <f aca="false">B25/B28</f>
        <v>192</v>
      </c>
    </row>
    <row r="33" customFormat="false" ht="15" hidden="false" customHeight="false" outlineLevel="0" collapsed="false">
      <c r="A33" s="12" t="s">
        <v>104</v>
      </c>
      <c r="B33" s="17" t="n">
        <f aca="false">B25/B30</f>
        <v>32</v>
      </c>
    </row>
    <row r="34" customFormat="false" ht="15" hidden="false" customHeight="false" outlineLevel="0" collapsed="false">
      <c r="A34" s="12" t="s">
        <v>105</v>
      </c>
      <c r="B34" s="13" t="n">
        <f aca="false">B23*B25/10^6</f>
        <v>307.2</v>
      </c>
    </row>
    <row r="35" customFormat="false" ht="15" hidden="false" customHeight="false" outlineLevel="0" collapsed="false">
      <c r="A35" s="12" t="s">
        <v>106</v>
      </c>
      <c r="B35" s="13" t="n">
        <f aca="false">B23*(B25+2*B24*4)/10^6</f>
        <v>358.4</v>
      </c>
    </row>
    <row r="36" customFormat="false" ht="15" hidden="false" customHeight="false" outlineLevel="0" collapsed="false">
      <c r="A36" s="12" t="s">
        <v>107</v>
      </c>
      <c r="B36" s="13" t="n">
        <f aca="false">B23*B30/10^6</f>
        <v>9.6</v>
      </c>
    </row>
    <row r="38" customFormat="false" ht="15" hidden="false" customHeight="false" outlineLevel="0" collapsed="false">
      <c r="A38" s="20" t="s">
        <v>108</v>
      </c>
    </row>
    <row r="39" customFormat="false" ht="15" hidden="false" customHeight="false" outlineLevel="0" collapsed="false">
      <c r="A39" s="20" t="s">
        <v>109</v>
      </c>
    </row>
    <row r="40" customFormat="false" ht="15" hidden="false" customHeight="false" outlineLevel="0" collapsed="false">
      <c r="A40" s="20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8"/>
  </cols>
  <sheetData>
    <row r="1" customFormat="false" ht="16.15" hidden="false" customHeight="false" outlineLevel="0" collapsed="false">
      <c r="A1" s="7" t="s">
        <v>111</v>
      </c>
    </row>
    <row r="3" customFormat="false" ht="15" hidden="false" customHeight="false" outlineLevel="0" collapsed="false">
      <c r="A3" s="8" t="s">
        <v>112</v>
      </c>
      <c r="B3" s="10" t="n">
        <v>60</v>
      </c>
    </row>
    <row r="5" customFormat="false" ht="15" hidden="false" customHeight="false" outlineLevel="0" collapsed="false">
      <c r="A5" s="21" t="s">
        <v>113</v>
      </c>
      <c r="B5" s="21" t="s">
        <v>114</v>
      </c>
      <c r="C5" s="21" t="s">
        <v>115</v>
      </c>
    </row>
    <row r="6" customFormat="false" ht="15" hidden="false" customHeight="false" outlineLevel="0" collapsed="false">
      <c r="A6" s="8" t="n">
        <v>1</v>
      </c>
      <c r="B6" s="22" t="s">
        <v>116</v>
      </c>
      <c r="C6" s="22" t="s">
        <v>117</v>
      </c>
    </row>
    <row r="7" customFormat="false" ht="15" hidden="false" customHeight="false" outlineLevel="0" collapsed="false">
      <c r="A7" s="8" t="n">
        <v>2</v>
      </c>
      <c r="B7" s="22" t="s">
        <v>118</v>
      </c>
      <c r="C7" s="22" t="s">
        <v>119</v>
      </c>
    </row>
    <row r="8" customFormat="false" ht="15" hidden="false" customHeight="false" outlineLevel="0" collapsed="false">
      <c r="A8" s="8" t="n">
        <v>3</v>
      </c>
      <c r="B8" s="22" t="s">
        <v>117</v>
      </c>
      <c r="C8" s="22" t="s">
        <v>120</v>
      </c>
    </row>
    <row r="9" customFormat="false" ht="15" hidden="false" customHeight="false" outlineLevel="0" collapsed="false">
      <c r="A9" s="8" t="n">
        <v>4</v>
      </c>
      <c r="B9" s="22" t="s">
        <v>121</v>
      </c>
      <c r="C9" s="22" t="s">
        <v>122</v>
      </c>
    </row>
    <row r="10" customFormat="false" ht="15" hidden="false" customHeight="false" outlineLevel="0" collapsed="false">
      <c r="A10" s="8" t="n">
        <v>5</v>
      </c>
      <c r="B10" s="22" t="s">
        <v>123</v>
      </c>
      <c r="C10" s="22" t="s">
        <v>116</v>
      </c>
    </row>
    <row r="12" customFormat="false" ht="15" hidden="false" customHeight="false" outlineLevel="0" collapsed="false">
      <c r="A12" s="21" t="s">
        <v>124</v>
      </c>
      <c r="B12" s="21" t="s">
        <v>125</v>
      </c>
      <c r="C12" s="21" t="s">
        <v>126</v>
      </c>
      <c r="D12" s="21" t="s">
        <v>127</v>
      </c>
      <c r="E12" s="21" t="s">
        <v>128</v>
      </c>
      <c r="F12" s="21" t="s">
        <v>38</v>
      </c>
      <c r="G12" s="21" t="s">
        <v>129</v>
      </c>
    </row>
    <row r="13" customFormat="false" ht="15" hidden="false" customHeight="false" outlineLevel="0" collapsed="false">
      <c r="A13" s="22" t="s">
        <v>116</v>
      </c>
      <c r="B13" s="27" t="n">
        <f aca="false">IF(A13="","",IFERROR(MATCH(A13,$B$6:$B$10,0),""))</f>
        <v>1</v>
      </c>
      <c r="C13" s="27" t="n">
        <f aca="false">IF(A13="","",IFERROR(MATCH(A13,$C$6:$C$10,0),""))</f>
        <v>5</v>
      </c>
      <c r="D13" s="28" t="n">
        <f aca="false">IF(A13="","",IF(ISNUMBER(B13),1/(B3+B13),0)+IF(ISNUMBER(C13),1/(B3+C13),0))</f>
        <v>0.0317780580075662</v>
      </c>
      <c r="E13" s="17" t="n">
        <f aca="false">IF(A13="","",RANK(D13,$D$13:$D$22))</f>
        <v>2</v>
      </c>
      <c r="F13" s="29" t="s">
        <v>130</v>
      </c>
      <c r="G13" s="30" t="n">
        <f aca="false">IF(A13="","",D13-ROW()*10^-9)</f>
        <v>0.0317780450075662</v>
      </c>
    </row>
    <row r="14" customFormat="false" ht="15" hidden="false" customHeight="false" outlineLevel="0" collapsed="false">
      <c r="A14" s="22" t="s">
        <v>118</v>
      </c>
      <c r="B14" s="27" t="n">
        <f aca="false">IF(A14="","",IFERROR(MATCH(A14,$B$6:$B$10,0),""))</f>
        <v>2</v>
      </c>
      <c r="C14" s="27" t="str">
        <f aca="false">IF(A14="","",IFERROR(MATCH(A14,$C$6:$C$10,0),""))</f>
        <v/>
      </c>
      <c r="D14" s="28" t="n">
        <f aca="false">IF(A14="","",IF(ISNUMBER(B14),1/(B3+B14),0)+IF(ISNUMBER(C14),1/(B3+C14),0))</f>
        <v>0.0161290322580645</v>
      </c>
      <c r="E14" s="17" t="n">
        <f aca="false">IF(A14="","",RANK(D14,$D$13:$D$22))</f>
        <v>3</v>
      </c>
      <c r="F14" s="29" t="s">
        <v>131</v>
      </c>
      <c r="G14" s="30" t="n">
        <f aca="false">IF(A14="","",D14-ROW()*10^-9)</f>
        <v>0.0161290182580645</v>
      </c>
    </row>
    <row r="15" customFormat="false" ht="15" hidden="false" customHeight="false" outlineLevel="0" collapsed="false">
      <c r="A15" s="22" t="s">
        <v>117</v>
      </c>
      <c r="B15" s="27" t="n">
        <f aca="false">IF(A15="","",IFERROR(MATCH(A15,$B$6:$B$10,0),""))</f>
        <v>3</v>
      </c>
      <c r="C15" s="27" t="n">
        <f aca="false">IF(A15="","",IFERROR(MATCH(A15,$C$6:$C$10,0),""))</f>
        <v>1</v>
      </c>
      <c r="D15" s="28" t="n">
        <f aca="false">IF(A15="","",IF(ISNUMBER(B15),1/(B3+B15),0)+IF(ISNUMBER(C15),1/(B3+C15),0))</f>
        <v>0.0322664584959667</v>
      </c>
      <c r="E15" s="17" t="n">
        <f aca="false">IF(A15="","",RANK(D15,$D$13:$D$22))</f>
        <v>1</v>
      </c>
      <c r="F15" s="29" t="s">
        <v>132</v>
      </c>
      <c r="G15" s="30" t="n">
        <f aca="false">IF(A15="","",D15-ROW()*10^-9)</f>
        <v>0.0322664434959667</v>
      </c>
    </row>
    <row r="16" customFormat="false" ht="15" hidden="false" customHeight="false" outlineLevel="0" collapsed="false">
      <c r="A16" s="22" t="s">
        <v>121</v>
      </c>
      <c r="B16" s="27" t="n">
        <f aca="false">IF(A16="","",IFERROR(MATCH(A16,$B$6:$B$10,0),""))</f>
        <v>4</v>
      </c>
      <c r="C16" s="27" t="str">
        <f aca="false">IF(A16="","",IFERROR(MATCH(A16,$C$6:$C$10,0),""))</f>
        <v/>
      </c>
      <c r="D16" s="28" t="n">
        <f aca="false">IF(A16="","",IF(ISNUMBER(B16),1/(B3+B16),0)+IF(ISNUMBER(C16),1/(B3+C16),0))</f>
        <v>0.015625</v>
      </c>
      <c r="E16" s="17" t="n">
        <f aca="false">IF(A16="","",RANK(D16,$D$13:$D$22))</f>
        <v>6</v>
      </c>
      <c r="F16" s="29" t="s">
        <v>133</v>
      </c>
      <c r="G16" s="30" t="n">
        <f aca="false">IF(A16="","",D16-ROW()*10^-9)</f>
        <v>0.015624984</v>
      </c>
    </row>
    <row r="17" customFormat="false" ht="15" hidden="false" customHeight="false" outlineLevel="0" collapsed="false">
      <c r="A17" s="22" t="s">
        <v>123</v>
      </c>
      <c r="B17" s="27" t="n">
        <f aca="false">IF(A17="","",IFERROR(MATCH(A17,$B$6:$B$10,0),""))</f>
        <v>5</v>
      </c>
      <c r="C17" s="27" t="str">
        <f aca="false">IF(A17="","",IFERROR(MATCH(A17,$C$6:$C$10,0),""))</f>
        <v/>
      </c>
      <c r="D17" s="28" t="n">
        <f aca="false">IF(A17="","",IF(ISNUMBER(B17),1/(B3+B17),0)+IF(ISNUMBER(C17),1/(B3+C17),0))</f>
        <v>0.0153846153846154</v>
      </c>
      <c r="E17" s="17" t="n">
        <f aca="false">IF(A17="","",RANK(D17,$D$13:$D$22))</f>
        <v>8</v>
      </c>
      <c r="F17" s="29" t="s">
        <v>134</v>
      </c>
      <c r="G17" s="30" t="n">
        <f aca="false">IF(A17="","",D17-ROW()*10^-9)</f>
        <v>0.0153845983846154</v>
      </c>
    </row>
    <row r="18" customFormat="false" ht="15" hidden="false" customHeight="false" outlineLevel="0" collapsed="false">
      <c r="A18" s="22" t="s">
        <v>119</v>
      </c>
      <c r="B18" s="27" t="str">
        <f aca="false">IF(A18="","",IFERROR(MATCH(A18,$B$6:$B$10,0),""))</f>
        <v/>
      </c>
      <c r="C18" s="27" t="n">
        <f aca="false">IF(A18="","",IFERROR(MATCH(A18,$C$6:$C$10,0),""))</f>
        <v>2</v>
      </c>
      <c r="D18" s="28" t="n">
        <f aca="false">IF(A18="","",IF(ISNUMBER(B18),1/(B3+B18),0)+IF(ISNUMBER(C18),1/(B3+C18),0))</f>
        <v>0.0161290322580645</v>
      </c>
      <c r="E18" s="17" t="n">
        <f aca="false">IF(A18="","",RANK(D18,$D$13:$D$22))</f>
        <v>3</v>
      </c>
      <c r="F18" s="29" t="s">
        <v>131</v>
      </c>
      <c r="G18" s="30" t="n">
        <f aca="false">IF(A18="","",D18-ROW()*10^-9)</f>
        <v>0.0161290142580645</v>
      </c>
    </row>
    <row r="19" customFormat="false" ht="15" hidden="false" customHeight="false" outlineLevel="0" collapsed="false">
      <c r="A19" s="22" t="s">
        <v>120</v>
      </c>
      <c r="B19" s="27" t="str">
        <f aca="false">IF(A19="","",IFERROR(MATCH(A19,$B$6:$B$10,0),""))</f>
        <v/>
      </c>
      <c r="C19" s="27" t="n">
        <f aca="false">IF(A19="","",IFERROR(MATCH(A19,$C$6:$C$10,0),""))</f>
        <v>3</v>
      </c>
      <c r="D19" s="28" t="n">
        <f aca="false">IF(A19="","",IF(ISNUMBER(B19),1/(B3+B19),0)+IF(ISNUMBER(C19),1/(B3+C19),0))</f>
        <v>0.0158730158730159</v>
      </c>
      <c r="E19" s="17" t="n">
        <f aca="false">IF(A19="","",RANK(D19,$D$13:$D$22))</f>
        <v>5</v>
      </c>
      <c r="F19" s="29" t="s">
        <v>135</v>
      </c>
      <c r="G19" s="30" t="n">
        <f aca="false">IF(A19="","",D19-ROW()*10^-9)</f>
        <v>0.0158729968730159</v>
      </c>
    </row>
    <row r="20" customFormat="false" ht="15" hidden="false" customHeight="false" outlineLevel="0" collapsed="false">
      <c r="A20" s="22" t="s">
        <v>122</v>
      </c>
      <c r="B20" s="27" t="str">
        <f aca="false">IF(A20="","",IFERROR(MATCH(A20,$B$6:$B$10,0),""))</f>
        <v/>
      </c>
      <c r="C20" s="27" t="n">
        <f aca="false">IF(A20="","",IFERROR(MATCH(A20,$C$6:$C$10,0),""))</f>
        <v>4</v>
      </c>
      <c r="D20" s="28" t="n">
        <f aca="false">IF(A20="","",IF(ISNUMBER(B20),1/(B3+B20),0)+IF(ISNUMBER(C20),1/(B3+C20),0))</f>
        <v>0.015625</v>
      </c>
      <c r="E20" s="17" t="n">
        <f aca="false">IF(A20="","",RANK(D20,$D$13:$D$22))</f>
        <v>6</v>
      </c>
      <c r="F20" s="29" t="s">
        <v>133</v>
      </c>
      <c r="G20" s="30" t="n">
        <f aca="false">IF(A20="","",D20-ROW()*10^-9)</f>
        <v>0.01562498</v>
      </c>
    </row>
    <row r="21" customFormat="false" ht="15" hidden="false" customHeight="false" outlineLevel="0" collapsed="false">
      <c r="A21" s="22"/>
      <c r="B21" s="27" t="str">
        <f aca="false">IF(A21="","",IFERROR(MATCH(A21,$B$6:$B$10,0),""))</f>
        <v/>
      </c>
      <c r="C21" s="27" t="str">
        <f aca="false">IF(A21="","",IFERROR(MATCH(A21,$C$6:$C$10,0),""))</f>
        <v/>
      </c>
      <c r="D21" s="28" t="str">
        <f aca="false">IF(A21="","",IF(ISNUMBER(B21),1/(B3+B21),0)+IF(ISNUMBER(C21),1/(B3+C21),0))</f>
        <v/>
      </c>
      <c r="E21" s="17" t="str">
        <f aca="false">IF(A21="","",RANK(D21,$D$13:$D$22))</f>
        <v/>
      </c>
      <c r="F21" s="29"/>
      <c r="G21" s="30" t="str">
        <f aca="false">IF(A21="","",D21-ROW()*10^-9)</f>
        <v/>
      </c>
    </row>
    <row r="22" customFormat="false" ht="15" hidden="false" customHeight="false" outlineLevel="0" collapsed="false">
      <c r="A22" s="22"/>
      <c r="B22" s="27" t="str">
        <f aca="false">IF(A22="","",IFERROR(MATCH(A22,$B$6:$B$10,0),""))</f>
        <v/>
      </c>
      <c r="C22" s="27" t="str">
        <f aca="false">IF(A22="","",IFERROR(MATCH(A22,$C$6:$C$10,0),""))</f>
        <v/>
      </c>
      <c r="D22" s="28" t="str">
        <f aca="false">IF(A22="","",IF(ISNUMBER(B22),1/(B3+B22),0)+IF(ISNUMBER(C22),1/(B3+C22),0))</f>
        <v/>
      </c>
      <c r="E22" s="17" t="str">
        <f aca="false">IF(A22="","",RANK(D22,$D$13:$D$22))</f>
        <v/>
      </c>
      <c r="F22" s="29"/>
      <c r="G22" s="30" t="str">
        <f aca="false">IF(A22="","",D22-ROW()*10^-9)</f>
        <v/>
      </c>
    </row>
    <row r="24" customFormat="false" ht="15" hidden="false" customHeight="false" outlineLevel="0" collapsed="false">
      <c r="A24" s="21" t="s">
        <v>136</v>
      </c>
      <c r="B24" s="21" t="s">
        <v>124</v>
      </c>
      <c r="C24" s="21" t="s">
        <v>127</v>
      </c>
      <c r="D24" s="21" t="s">
        <v>128</v>
      </c>
    </row>
    <row r="25" customFormat="false" ht="15" hidden="false" customHeight="false" outlineLevel="0" collapsed="false">
      <c r="A25" s="8" t="n">
        <v>1</v>
      </c>
      <c r="B25" s="8" t="str">
        <f aca="false">IFERROR(INDEX($A$13:$A$22,MATCH(LARGE($G$13:$G$22,A25),$G$13:$G$22,0)),"")</f>
        <v>C</v>
      </c>
      <c r="C25" s="31" t="n">
        <f aca="false">IFERROR(INDEX($D$13:$D$22,MATCH(LARGE($G$13:$G$22,A25),$G$13:$G$22,0)),"")</f>
        <v>0.0322664584959667</v>
      </c>
      <c r="D25" s="27" t="n">
        <f aca="false">IFERROR(INDEX($E$13:$E$22,MATCH(LARGE($G$13:$G$22,A25),$G$13:$G$22,0)),"")</f>
        <v>1</v>
      </c>
    </row>
    <row r="26" customFormat="false" ht="15" hidden="false" customHeight="false" outlineLevel="0" collapsed="false">
      <c r="A26" s="8" t="n">
        <v>2</v>
      </c>
      <c r="B26" s="8" t="str">
        <f aca="false">IFERROR(INDEX($A$13:$A$22,MATCH(LARGE($G$13:$G$22,A26),$G$13:$G$22,0)),"")</f>
        <v>A</v>
      </c>
      <c r="C26" s="31" t="n">
        <f aca="false">IFERROR(INDEX($D$13:$D$22,MATCH(LARGE($G$13:$G$22,A26),$G$13:$G$22,0)),"")</f>
        <v>0.0317780580075662</v>
      </c>
      <c r="D26" s="27" t="n">
        <f aca="false">IFERROR(INDEX($E$13:$E$22,MATCH(LARGE($G$13:$G$22,A26),$G$13:$G$22,0)),"")</f>
        <v>2</v>
      </c>
    </row>
    <row r="27" customFormat="false" ht="15" hidden="false" customHeight="false" outlineLevel="0" collapsed="false">
      <c r="A27" s="8" t="n">
        <v>3</v>
      </c>
      <c r="B27" s="8" t="str">
        <f aca="false">IFERROR(INDEX($A$13:$A$22,MATCH(LARGE($G$13:$G$22,A27),$G$13:$G$22,0)),"")</f>
        <v>B</v>
      </c>
      <c r="C27" s="31" t="n">
        <f aca="false">IFERROR(INDEX($D$13:$D$22,MATCH(LARGE($G$13:$G$22,A27),$G$13:$G$22,0)),"")</f>
        <v>0.0161290322580645</v>
      </c>
      <c r="D27" s="27" t="n">
        <f aca="false">IFERROR(INDEX($E$13:$E$22,MATCH(LARGE($G$13:$G$22,A27),$G$13:$G$22,0)),"")</f>
        <v>3</v>
      </c>
    </row>
    <row r="28" customFormat="false" ht="15" hidden="false" customHeight="false" outlineLevel="0" collapsed="false">
      <c r="A28" s="8" t="n">
        <v>4</v>
      </c>
      <c r="B28" s="8" t="str">
        <f aca="false">IFERROR(INDEX($A$13:$A$22,MATCH(LARGE($G$13:$G$22,A28),$G$13:$G$22,0)),"")</f>
        <v>F</v>
      </c>
      <c r="C28" s="31" t="n">
        <f aca="false">IFERROR(INDEX($D$13:$D$22,MATCH(LARGE($G$13:$G$22,A28),$G$13:$G$22,0)),"")</f>
        <v>0.0161290322580645</v>
      </c>
      <c r="D28" s="27" t="n">
        <f aca="false">IFERROR(INDEX($E$13:$E$22,MATCH(LARGE($G$13:$G$22,A28),$G$13:$G$22,0)),"")</f>
        <v>3</v>
      </c>
    </row>
    <row r="29" customFormat="false" ht="15" hidden="false" customHeight="false" outlineLevel="0" collapsed="false">
      <c r="A29" s="8" t="n">
        <v>5</v>
      </c>
      <c r="B29" s="8" t="str">
        <f aca="false">IFERROR(INDEX($A$13:$A$22,MATCH(LARGE($G$13:$G$22,A29),$G$13:$G$22,0)),"")</f>
        <v>G</v>
      </c>
      <c r="C29" s="31" t="n">
        <f aca="false">IFERROR(INDEX($D$13:$D$22,MATCH(LARGE($G$13:$G$22,A29),$G$13:$G$22,0)),"")</f>
        <v>0.0158730158730159</v>
      </c>
      <c r="D29" s="27" t="n">
        <f aca="false">IFERROR(INDEX($E$13:$E$22,MATCH(LARGE($G$13:$G$22,A29),$G$13:$G$22,0)),"")</f>
        <v>5</v>
      </c>
    </row>
    <row r="30" customFormat="false" ht="15" hidden="false" customHeight="false" outlineLevel="0" collapsed="false">
      <c r="A30" s="8" t="n">
        <v>6</v>
      </c>
      <c r="B30" s="8" t="str">
        <f aca="false">IFERROR(INDEX($A$13:$A$22,MATCH(LARGE($G$13:$G$22,A30),$G$13:$G$22,0)),"")</f>
        <v>D</v>
      </c>
      <c r="C30" s="31" t="n">
        <f aca="false">IFERROR(INDEX($D$13:$D$22,MATCH(LARGE($G$13:$G$22,A30),$G$13:$G$22,0)),"")</f>
        <v>0.015625</v>
      </c>
      <c r="D30" s="27" t="n">
        <f aca="false">IFERROR(INDEX($E$13:$E$22,MATCH(LARGE($G$13:$G$22,A30),$G$13:$G$22,0)),"")</f>
        <v>6</v>
      </c>
    </row>
    <row r="31" customFormat="false" ht="15" hidden="false" customHeight="false" outlineLevel="0" collapsed="false">
      <c r="A31" s="8" t="n">
        <v>7</v>
      </c>
      <c r="B31" s="8" t="str">
        <f aca="false">IFERROR(INDEX($A$13:$A$22,MATCH(LARGE($G$13:$G$22,A31),$G$13:$G$22,0)),"")</f>
        <v>H</v>
      </c>
      <c r="C31" s="31" t="n">
        <f aca="false">IFERROR(INDEX($D$13:$D$22,MATCH(LARGE($G$13:$G$22,A31),$G$13:$G$22,0)),"")</f>
        <v>0.015625</v>
      </c>
      <c r="D31" s="27" t="n">
        <f aca="false">IFERROR(INDEX($E$13:$E$22,MATCH(LARGE($G$13:$G$22,A31),$G$13:$G$22,0)),"")</f>
        <v>6</v>
      </c>
    </row>
    <row r="32" customFormat="false" ht="15" hidden="false" customHeight="false" outlineLevel="0" collapsed="false">
      <c r="A32" s="8" t="n">
        <v>8</v>
      </c>
      <c r="B32" s="8" t="str">
        <f aca="false">IFERROR(INDEX($A$13:$A$22,MATCH(LARGE($G$13:$G$22,A32),$G$13:$G$22,0)),"")</f>
        <v>E</v>
      </c>
      <c r="C32" s="31" t="n">
        <f aca="false">IFERROR(INDEX($D$13:$D$22,MATCH(LARGE($G$13:$G$22,A32),$G$13:$G$22,0)),"")</f>
        <v>0.0153846153846154</v>
      </c>
      <c r="D32" s="27" t="n">
        <f aca="false">IFERROR(INDEX($E$13:$E$22,MATCH(LARGE($G$13:$G$22,A32),$G$13:$G$22,0)),"")</f>
        <v>8</v>
      </c>
    </row>
    <row r="33" customFormat="false" ht="15" hidden="false" customHeight="false" outlineLevel="0" collapsed="false">
      <c r="A33" s="8" t="n">
        <v>9</v>
      </c>
      <c r="B33" s="8" t="str">
        <f aca="false">IFERROR(INDEX($A$13:$A$22,MATCH(LARGE($G$13:$G$22,A33),$G$13:$G$22,0)),"")</f>
        <v/>
      </c>
      <c r="C33" s="31" t="str">
        <f aca="false">IFERROR(INDEX($D$13:$D$22,MATCH(LARGE($G$13:$G$22,A33),$G$13:$G$22,0)),"")</f>
        <v/>
      </c>
      <c r="D33" s="27" t="str">
        <f aca="false">IFERROR(INDEX($E$13:$E$22,MATCH(LARGE($G$13:$G$22,A33),$G$13:$G$22,0)),"")</f>
        <v/>
      </c>
    </row>
    <row r="34" customFormat="false" ht="15" hidden="false" customHeight="false" outlineLevel="0" collapsed="false">
      <c r="A34" s="8" t="n">
        <v>10</v>
      </c>
      <c r="B34" s="8" t="str">
        <f aca="false">IFERROR(INDEX($A$13:$A$22,MATCH(LARGE($G$13:$G$22,A34),$G$13:$G$22,0)),"")</f>
        <v/>
      </c>
      <c r="C34" s="31" t="str">
        <f aca="false">IFERROR(INDEX($D$13:$D$22,MATCH(LARGE($G$13:$G$22,A34),$G$13:$G$22,0)),"")</f>
        <v/>
      </c>
      <c r="D34" s="27" t="str">
        <f aca="false">IFERROR(INDEX($E$13:$E$22,MATCH(LARGE($G$13:$G$22,A34),$G$13:$G$22,0)),"")</f>
        <v/>
      </c>
    </row>
    <row r="35" customFormat="false" ht="15" hidden="false" customHeight="false" outlineLevel="0" collapsed="false">
      <c r="A35" s="32" t="s">
        <v>38</v>
      </c>
      <c r="B35" s="32" t="s">
        <v>137</v>
      </c>
    </row>
    <row r="37" customFormat="false" ht="15" hidden="false" customHeight="false" outlineLevel="0" collapsed="false">
      <c r="A37" s="20" t="s">
        <v>138</v>
      </c>
    </row>
    <row r="38" customFormat="false" ht="15" hidden="false" customHeight="false" outlineLevel="0" collapsed="false">
      <c r="A38" s="2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7" t="s">
        <v>140</v>
      </c>
    </row>
    <row r="3" customFormat="false" ht="15" hidden="false" customHeight="false" outlineLevel="0" collapsed="false">
      <c r="A3" s="8" t="s">
        <v>141</v>
      </c>
      <c r="B3" s="10" t="n">
        <v>50</v>
      </c>
    </row>
    <row r="4" customFormat="false" ht="15" hidden="false" customHeight="false" outlineLevel="0" collapsed="false">
      <c r="A4" s="8" t="s">
        <v>142</v>
      </c>
      <c r="B4" s="10" t="n">
        <v>672</v>
      </c>
    </row>
    <row r="5" customFormat="false" ht="15" hidden="false" customHeight="false" outlineLevel="0" collapsed="false">
      <c r="A5" s="8" t="s">
        <v>143</v>
      </c>
      <c r="B5" s="11" t="n">
        <v>0.6</v>
      </c>
    </row>
    <row r="6" customFormat="false" ht="15" hidden="false" customHeight="false" outlineLevel="0" collapsed="false">
      <c r="A6" s="8" t="s">
        <v>144</v>
      </c>
      <c r="B6" s="10" t="n">
        <v>30</v>
      </c>
    </row>
    <row r="7" customFormat="false" ht="15" hidden="false" customHeight="false" outlineLevel="0" collapsed="false">
      <c r="A7" s="8" t="s">
        <v>145</v>
      </c>
      <c r="B7" s="11" t="n">
        <v>0.9</v>
      </c>
    </row>
    <row r="8" customFormat="false" ht="15" hidden="false" customHeight="false" outlineLevel="0" collapsed="false">
      <c r="A8" s="8" t="s">
        <v>146</v>
      </c>
      <c r="B8" s="11" t="n">
        <v>2</v>
      </c>
    </row>
    <row r="9" customFormat="false" ht="15" hidden="false" customHeight="false" outlineLevel="0" collapsed="false">
      <c r="A9" s="8" t="s">
        <v>147</v>
      </c>
      <c r="B9" s="11" t="n">
        <v>1</v>
      </c>
    </row>
    <row r="10" customFormat="false" ht="15" hidden="false" customHeight="false" outlineLevel="0" collapsed="false">
      <c r="A10" s="8" t="s">
        <v>148</v>
      </c>
      <c r="B10" s="11" t="n">
        <v>3</v>
      </c>
    </row>
    <row r="11" customFormat="false" ht="15" hidden="false" customHeight="false" outlineLevel="0" collapsed="false">
      <c r="A11" s="8" t="s">
        <v>149</v>
      </c>
      <c r="B11" s="11" t="n">
        <v>0</v>
      </c>
    </row>
    <row r="12" customFormat="false" ht="15" hidden="false" customHeight="false" outlineLevel="0" collapsed="false">
      <c r="A12" s="8" t="s">
        <v>150</v>
      </c>
      <c r="B12" s="11" t="n">
        <v>0.6</v>
      </c>
    </row>
    <row r="13" customFormat="false" ht="15" hidden="false" customHeight="false" outlineLevel="0" collapsed="false">
      <c r="A13" s="8" t="s">
        <v>151</v>
      </c>
      <c r="B13" s="10" t="n">
        <v>30</v>
      </c>
    </row>
    <row r="14" customFormat="false" ht="15" hidden="false" customHeight="false" outlineLevel="0" collapsed="false">
      <c r="A14" s="8" t="s">
        <v>152</v>
      </c>
      <c r="B14" s="10" t="n">
        <v>512</v>
      </c>
    </row>
    <row r="15" customFormat="false" ht="15" hidden="false" customHeight="false" outlineLevel="0" collapsed="false">
      <c r="A15" s="8" t="s">
        <v>153</v>
      </c>
      <c r="B15" s="9" t="n">
        <v>5000</v>
      </c>
    </row>
    <row r="16" customFormat="false" ht="15" hidden="false" customHeight="false" outlineLevel="0" collapsed="false">
      <c r="A16" s="8" t="s">
        <v>154</v>
      </c>
      <c r="B16" s="11" t="n">
        <v>15</v>
      </c>
    </row>
    <row r="17" customFormat="false" ht="15" hidden="false" customHeight="false" outlineLevel="0" collapsed="false">
      <c r="A17" s="8" t="s">
        <v>155</v>
      </c>
      <c r="B17" s="11" t="n">
        <v>6.6</v>
      </c>
    </row>
    <row r="18" customFormat="false" ht="15" hidden="false" customHeight="false" outlineLevel="0" collapsed="false">
      <c r="A18" s="8" t="s">
        <v>156</v>
      </c>
      <c r="B18" s="10" t="n">
        <v>300</v>
      </c>
    </row>
    <row r="19" customFormat="false" ht="15" hidden="false" customHeight="false" outlineLevel="0" collapsed="false">
      <c r="A19" s="8" t="s">
        <v>157</v>
      </c>
      <c r="B19" s="10" t="n">
        <v>90</v>
      </c>
    </row>
    <row r="21" customFormat="false" ht="15" hidden="false" customHeight="false" outlineLevel="0" collapsed="false">
      <c r="A21" s="12" t="s">
        <v>158</v>
      </c>
      <c r="B21" s="33" t="n">
        <f aca="false">B6*2*B5*10^9</f>
        <v>36000000000</v>
      </c>
    </row>
    <row r="22" customFormat="false" ht="15" hidden="false" customHeight="false" outlineLevel="0" collapsed="false">
      <c r="A22" s="14" t="s">
        <v>38</v>
      </c>
      <c r="B22" s="15" t="s">
        <v>159</v>
      </c>
    </row>
    <row r="23" customFormat="false" ht="15" hidden="false" customHeight="false" outlineLevel="0" collapsed="false">
      <c r="A23" s="12" t="s">
        <v>160</v>
      </c>
      <c r="B23" s="16" t="n">
        <f aca="false">B21/(B3*10^12)*1000</f>
        <v>0.72</v>
      </c>
    </row>
    <row r="24" customFormat="false" ht="15" hidden="false" customHeight="false" outlineLevel="0" collapsed="false">
      <c r="A24" s="14" t="s">
        <v>38</v>
      </c>
      <c r="B24" s="15" t="s">
        <v>161</v>
      </c>
    </row>
    <row r="25" customFormat="false" ht="15" hidden="false" customHeight="false" outlineLevel="0" collapsed="false">
      <c r="A25" s="12" t="s">
        <v>162</v>
      </c>
      <c r="B25" s="16" t="n">
        <f aca="false">B7/B4*1000</f>
        <v>1.33928571428571</v>
      </c>
    </row>
    <row r="26" customFormat="false" ht="15" hidden="false" customHeight="false" outlineLevel="0" collapsed="false">
      <c r="A26" s="14" t="s">
        <v>38</v>
      </c>
      <c r="B26" s="15" t="s">
        <v>163</v>
      </c>
    </row>
    <row r="27" customFormat="false" ht="15" hidden="false" customHeight="false" outlineLevel="0" collapsed="false">
      <c r="A27" s="12" t="s">
        <v>164</v>
      </c>
      <c r="B27" s="13" t="n">
        <f aca="false">MAX(B21/(B3*10^12)*1000,B25)+B8</f>
        <v>3.33928571428571</v>
      </c>
    </row>
    <row r="28" customFormat="false" ht="15" hidden="false" customHeight="false" outlineLevel="0" collapsed="false">
      <c r="A28" s="14" t="s">
        <v>38</v>
      </c>
      <c r="B28" s="15" t="s">
        <v>165</v>
      </c>
    </row>
    <row r="29" customFormat="false" ht="15" hidden="false" customHeight="false" outlineLevel="0" collapsed="false">
      <c r="A29" s="12" t="s">
        <v>166</v>
      </c>
      <c r="B29" s="13" t="n">
        <f aca="false">B9+B10+B11</f>
        <v>4</v>
      </c>
    </row>
    <row r="30" customFormat="false" ht="15" hidden="false" customHeight="false" outlineLevel="0" collapsed="false">
      <c r="A30" s="14" t="s">
        <v>38</v>
      </c>
      <c r="B30" s="15" t="s">
        <v>167</v>
      </c>
    </row>
    <row r="31" customFormat="false" ht="15" hidden="false" customHeight="false" outlineLevel="0" collapsed="false">
      <c r="A31" s="12" t="s">
        <v>168</v>
      </c>
      <c r="B31" s="33" t="n">
        <f aca="false">B13*B14*2*B12*10^9</f>
        <v>18432000000000</v>
      </c>
    </row>
    <row r="32" customFormat="false" ht="15" hidden="false" customHeight="false" outlineLevel="0" collapsed="false">
      <c r="A32" s="14" t="s">
        <v>38</v>
      </c>
      <c r="B32" s="15" t="s">
        <v>169</v>
      </c>
    </row>
    <row r="33" customFormat="false" ht="15" hidden="false" customHeight="false" outlineLevel="0" collapsed="false">
      <c r="A33" s="12" t="s">
        <v>170</v>
      </c>
      <c r="B33" s="16" t="n">
        <f aca="false">B31/(B3*10^12)</f>
        <v>0.36864</v>
      </c>
    </row>
    <row r="34" customFormat="false" ht="15" hidden="false" customHeight="false" outlineLevel="0" collapsed="false">
      <c r="A34" s="14" t="s">
        <v>38</v>
      </c>
      <c r="B34" s="15" t="s">
        <v>171</v>
      </c>
    </row>
    <row r="35" customFormat="false" ht="15" hidden="false" customHeight="false" outlineLevel="0" collapsed="false">
      <c r="A35" s="12" t="s">
        <v>172</v>
      </c>
      <c r="B35" s="13" t="n">
        <f aca="false">B15*B16/1000+B17</f>
        <v>81.6</v>
      </c>
    </row>
    <row r="36" customFormat="false" ht="15" hidden="false" customHeight="false" outlineLevel="0" collapsed="false">
      <c r="A36" s="14" t="s">
        <v>38</v>
      </c>
      <c r="B36" s="15" t="s">
        <v>173</v>
      </c>
    </row>
    <row r="37" customFormat="false" ht="15" hidden="false" customHeight="false" outlineLevel="0" collapsed="false">
      <c r="A37" s="12" t="s">
        <v>174</v>
      </c>
      <c r="B37" s="16" t="n">
        <f aca="false">B35/B3</f>
        <v>1.632</v>
      </c>
    </row>
    <row r="38" customFormat="false" ht="15" hidden="false" customHeight="false" outlineLevel="0" collapsed="false">
      <c r="A38" s="14" t="s">
        <v>38</v>
      </c>
      <c r="B38" s="15" t="s">
        <v>175</v>
      </c>
    </row>
    <row r="39" customFormat="false" ht="15" hidden="false" customHeight="false" outlineLevel="0" collapsed="false">
      <c r="A39" s="12" t="s">
        <v>176</v>
      </c>
      <c r="B39" s="16" t="n">
        <f aca="false">B18/B19</f>
        <v>3.33333333333333</v>
      </c>
    </row>
    <row r="40" customFormat="false" ht="15" hidden="false" customHeight="false" outlineLevel="0" collapsed="false">
      <c r="A40" s="14" t="s">
        <v>38</v>
      </c>
      <c r="B40" s="15" t="s">
        <v>177</v>
      </c>
    </row>
    <row r="41" customFormat="false" ht="15" hidden="false" customHeight="false" outlineLevel="0" collapsed="false">
      <c r="A41" s="12" t="s">
        <v>178</v>
      </c>
      <c r="B41" s="16" t="n">
        <f aca="false">(B27+B29)/1000+B33</f>
        <v>0.375979285714286</v>
      </c>
    </row>
    <row r="42" customFormat="false" ht="15" hidden="false" customHeight="false" outlineLevel="0" collapsed="false">
      <c r="A42" s="12" t="s">
        <v>179</v>
      </c>
      <c r="B42" s="16" t="n">
        <f aca="false">B41+B37+B39</f>
        <v>5.34131261904762</v>
      </c>
    </row>
    <row r="43" customFormat="false" ht="15" hidden="false" customHeight="false" outlineLevel="0" collapsed="false">
      <c r="A43" s="14" t="s">
        <v>38</v>
      </c>
      <c r="B43" s="15" t="s">
        <v>180</v>
      </c>
    </row>
    <row r="44" customFormat="false" ht="15" hidden="false" customHeight="false" outlineLevel="0" collapsed="false">
      <c r="A44" s="12" t="s">
        <v>181</v>
      </c>
      <c r="B44" s="18" t="n">
        <f aca="false">B41/B42</f>
        <v>0.0703908032593914</v>
      </c>
    </row>
    <row r="45" customFormat="false" ht="15" hidden="false" customHeight="false" outlineLevel="0" collapsed="false">
      <c r="A45" s="14" t="s">
        <v>38</v>
      </c>
      <c r="B45" s="15" t="s">
        <v>182</v>
      </c>
    </row>
    <row r="46" customFormat="false" ht="15" hidden="false" customHeight="false" outlineLevel="0" collapsed="false">
      <c r="A46" s="12" t="s">
        <v>183</v>
      </c>
      <c r="B46" s="16" t="n">
        <f aca="false">B41+B37+1/B19</f>
        <v>2.0190903968254</v>
      </c>
    </row>
    <row r="47" customFormat="false" ht="15" hidden="false" customHeight="false" outlineLevel="0" collapsed="false">
      <c r="A47" s="14" t="s">
        <v>38</v>
      </c>
      <c r="B47" s="15" t="s">
        <v>184</v>
      </c>
    </row>
    <row r="49" customFormat="false" ht="15" hidden="false" customHeight="false" outlineLevel="0" collapsed="false">
      <c r="A49" s="20" t="s">
        <v>185</v>
      </c>
    </row>
    <row r="50" customFormat="false" ht="15" hidden="false" customHeight="false" outlineLevel="0" collapsed="false">
      <c r="A50" s="20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7" t="s">
        <v>187</v>
      </c>
    </row>
    <row r="3" customFormat="false" ht="15" hidden="false" customHeight="false" outlineLevel="0" collapsed="false">
      <c r="A3" s="8" t="s">
        <v>188</v>
      </c>
      <c r="B3" s="9" t="n">
        <v>670000</v>
      </c>
    </row>
    <row r="4" customFormat="false" ht="15" hidden="false" customHeight="false" outlineLevel="0" collapsed="false">
      <c r="A4" s="8" t="s">
        <v>189</v>
      </c>
      <c r="B4" s="23" t="n">
        <v>1</v>
      </c>
    </row>
    <row r="5" customFormat="false" ht="15" hidden="false" customHeight="false" outlineLevel="0" collapsed="false">
      <c r="A5" s="8" t="s">
        <v>190</v>
      </c>
      <c r="B5" s="9" t="n">
        <v>1500</v>
      </c>
    </row>
    <row r="6" customFormat="false" ht="15" hidden="false" customHeight="false" outlineLevel="0" collapsed="false">
      <c r="A6" s="8" t="s">
        <v>191</v>
      </c>
      <c r="B6" s="9" t="n">
        <v>400</v>
      </c>
    </row>
    <row r="7" customFormat="false" ht="15" hidden="false" customHeight="false" outlineLevel="0" collapsed="false">
      <c r="A7" s="8" t="s">
        <v>192</v>
      </c>
      <c r="B7" s="11" t="n">
        <v>32.8</v>
      </c>
    </row>
    <row r="8" customFormat="false" ht="15" hidden="false" customHeight="false" outlineLevel="0" collapsed="false">
      <c r="A8" s="8" t="s">
        <v>193</v>
      </c>
      <c r="B8" s="10" t="n">
        <v>400</v>
      </c>
    </row>
    <row r="9" customFormat="false" ht="15" hidden="false" customHeight="false" outlineLevel="0" collapsed="false">
      <c r="A9" s="8" t="s">
        <v>194</v>
      </c>
      <c r="B9" s="9" t="n">
        <v>1500</v>
      </c>
    </row>
    <row r="10" customFormat="false" ht="15" hidden="false" customHeight="false" outlineLevel="0" collapsed="false">
      <c r="A10" s="8" t="s">
        <v>195</v>
      </c>
      <c r="B10" s="34" t="n">
        <v>4.1E+017</v>
      </c>
    </row>
    <row r="11" customFormat="false" ht="15" hidden="false" customHeight="false" outlineLevel="0" collapsed="false">
      <c r="A11" s="8" t="s">
        <v>196</v>
      </c>
      <c r="B11" s="10" t="n">
        <v>50</v>
      </c>
    </row>
    <row r="12" customFormat="false" ht="15" hidden="false" customHeight="false" outlineLevel="0" collapsed="false">
      <c r="A12" s="8" t="s">
        <v>197</v>
      </c>
      <c r="B12" s="10" t="n">
        <v>200</v>
      </c>
    </row>
    <row r="14" customFormat="false" ht="15" hidden="false" customHeight="false" outlineLevel="0" collapsed="false">
      <c r="A14" s="12" t="s">
        <v>198</v>
      </c>
      <c r="B14" s="26" t="n">
        <f aca="false">B3*B4</f>
        <v>670000</v>
      </c>
    </row>
    <row r="15" customFormat="false" ht="15" hidden="false" customHeight="false" outlineLevel="0" collapsed="false">
      <c r="A15" s="12" t="s">
        <v>199</v>
      </c>
      <c r="B15" s="35" t="n">
        <f aca="false">B14*B5</f>
        <v>1005000000</v>
      </c>
    </row>
    <row r="16" customFormat="false" ht="15" hidden="false" customHeight="false" outlineLevel="0" collapsed="false">
      <c r="A16" s="14" t="s">
        <v>38</v>
      </c>
      <c r="B16" s="15" t="s">
        <v>200</v>
      </c>
    </row>
    <row r="17" customFormat="false" ht="15" hidden="false" customHeight="false" outlineLevel="0" collapsed="false">
      <c r="A17" s="12" t="s">
        <v>201</v>
      </c>
      <c r="B17" s="33" t="n">
        <f aca="false">B15*2*B7*10^9</f>
        <v>6.5928E+019</v>
      </c>
    </row>
    <row r="18" customFormat="false" ht="15" hidden="false" customHeight="false" outlineLevel="0" collapsed="false">
      <c r="A18" s="14" t="s">
        <v>38</v>
      </c>
      <c r="B18" s="15" t="s">
        <v>202</v>
      </c>
    </row>
    <row r="19" customFormat="false" ht="15" hidden="false" customHeight="false" outlineLevel="0" collapsed="false">
      <c r="A19" s="12" t="s">
        <v>203</v>
      </c>
      <c r="B19" s="13" t="n">
        <f aca="false">B17/(B8*10^12)/3600</f>
        <v>45.7833333333333</v>
      </c>
    </row>
    <row r="20" customFormat="false" ht="15" hidden="false" customHeight="false" outlineLevel="0" collapsed="false">
      <c r="A20" s="14" t="s">
        <v>38</v>
      </c>
      <c r="B20" s="15" t="s">
        <v>204</v>
      </c>
    </row>
    <row r="21" customFormat="false" ht="15" hidden="false" customHeight="false" outlineLevel="0" collapsed="false">
      <c r="A21" s="12" t="s">
        <v>156</v>
      </c>
      <c r="B21" s="35" t="n">
        <f aca="false">B14*B6</f>
        <v>268000000</v>
      </c>
    </row>
    <row r="22" customFormat="false" ht="15" hidden="false" customHeight="false" outlineLevel="0" collapsed="false">
      <c r="A22" s="14" t="s">
        <v>38</v>
      </c>
      <c r="B22" s="15" t="s">
        <v>205</v>
      </c>
    </row>
    <row r="23" customFormat="false" ht="15" hidden="false" customHeight="false" outlineLevel="0" collapsed="false">
      <c r="A23" s="12" t="s">
        <v>206</v>
      </c>
      <c r="B23" s="13" t="n">
        <f aca="false">B21/B9/3600</f>
        <v>49.6296296296296</v>
      </c>
    </row>
    <row r="24" customFormat="false" ht="15" hidden="false" customHeight="false" outlineLevel="0" collapsed="false">
      <c r="A24" s="14" t="s">
        <v>38</v>
      </c>
      <c r="B24" s="15" t="s">
        <v>207</v>
      </c>
    </row>
    <row r="25" customFormat="false" ht="15" hidden="false" customHeight="false" outlineLevel="0" collapsed="false">
      <c r="A25" s="12" t="s">
        <v>208</v>
      </c>
      <c r="B25" s="13" t="n">
        <f aca="false">B19+B23</f>
        <v>95.412962962963</v>
      </c>
    </row>
    <row r="26" customFormat="false" ht="15" hidden="false" customHeight="false" outlineLevel="0" collapsed="false">
      <c r="A26" s="12" t="s">
        <v>209</v>
      </c>
      <c r="B26" s="13" t="n">
        <f aca="false">B25/24</f>
        <v>3.97554012345679</v>
      </c>
    </row>
    <row r="27" customFormat="false" ht="15" hidden="false" customHeight="false" outlineLevel="0" collapsed="false">
      <c r="A27" s="14" t="s">
        <v>38</v>
      </c>
      <c r="B27" s="15" t="s">
        <v>210</v>
      </c>
    </row>
    <row r="28" customFormat="false" ht="15" hidden="false" customHeight="false" outlineLevel="0" collapsed="false">
      <c r="A28" s="12" t="s">
        <v>211</v>
      </c>
      <c r="B28" s="13" t="n">
        <f aca="false">B10/(B11*10^12)/3600</f>
        <v>2.27777777777778</v>
      </c>
    </row>
    <row r="29" customFormat="false" ht="15" hidden="false" customHeight="false" outlineLevel="0" collapsed="false">
      <c r="A29" s="14" t="s">
        <v>38</v>
      </c>
      <c r="B29" s="15" t="s">
        <v>212</v>
      </c>
    </row>
    <row r="30" customFormat="false" ht="15" hidden="false" customHeight="false" outlineLevel="0" collapsed="false">
      <c r="A30" s="12" t="s">
        <v>213</v>
      </c>
      <c r="B30" s="16" t="n">
        <f aca="false">B10/(B12*10^12)/3600</f>
        <v>0.569444444444444</v>
      </c>
    </row>
    <row r="31" customFormat="false" ht="15" hidden="false" customHeight="false" outlineLevel="0" collapsed="false">
      <c r="A31" s="14" t="s">
        <v>38</v>
      </c>
      <c r="B31" s="15" t="s">
        <v>214</v>
      </c>
    </row>
    <row r="32" customFormat="false" ht="15" hidden="false" customHeight="false" outlineLevel="0" collapsed="false">
      <c r="A32" s="12" t="s">
        <v>215</v>
      </c>
      <c r="B32" s="17" t="n">
        <f aca="false">B25/B28</f>
        <v>41.8886178861789</v>
      </c>
    </row>
    <row r="34" customFormat="false" ht="15" hidden="false" customHeight="false" outlineLevel="0" collapsed="false">
      <c r="A34" s="20" t="s">
        <v>216</v>
      </c>
    </row>
    <row r="35" customFormat="false" ht="15" hidden="false" customHeight="false" outlineLevel="0" collapsed="false">
      <c r="A35" s="2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2026-10-26T13:21:31Z</dcterms:created>
  <dc:creator>openpyxl</dc:creator>
  <dc:description/>
  <dc:language>en-US</dc:language>
  <cp:lastModifiedBy/>
  <dcterms:modified xsi:type="dcterms:W3CDTF">2026-10-26T13:21:31Z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