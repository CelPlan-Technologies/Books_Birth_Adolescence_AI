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Query Cost" sheetId="2" state="visible" r:id="rId4"/>
    <sheet name="Reasoning Cost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<sst xmlns="http://schemas.openxmlformats.org/spreadsheetml/2006/main" count="107" uniqueCount="96">
  <si>
    <t xml:space="preserve">Chapter 27 — Frontier Model Ecosystems: Anthropic, OpenAI, Google and xAI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</si>
  <si>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</si>
  <si>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</si>
  <si>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</si>
  <si>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</si>
  <si>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Query Cost</t>
  </si>
  <si>
    <t xml:space="preserve">Cost of one query and monthly cost on each current API model, for any mix of models, token counts, batch share, cache share and web searches; long-prompt pricing check.</t>
  </si>
  <si>
    <t xml:space="preserve">Section 27.8, Worked Example 27.1, Tables 27.3 and 27.4; Section 27.8.2</t>
  </si>
  <si>
    <t xml:space="preserve">Reasoning Cost</t>
  </si>
  <si>
    <t xml:space="preserve">Cost of one answer at low, medium and maximum reasoning effort, the Sonnet 5.5 comparison and the bound set by the output limit.</t>
  </si>
  <si>
    <t xml:space="preserve">Section 27.8.1, Worked Example 27.2</t>
  </si>
  <si>
    <t xml:space="preserve">Notes</t>
  </si>
  <si>
    <t xml:space="preserve">List prices in US$ per million tokens as published on 20 October 2026 (Table 27.3); introductory prices end on 30 November 2026 (Gemini 4 Argon) and 31 December 2026 (Gemini 3.8 Flash). Refresh before use.</t>
  </si>
  <si>
    <t xml:space="preserve">Cache-read multipliers are those of Table 22.2 (Chapter 22); xAI's is not documented in the text and is set to 0.1×, the typical tenth of Section 29.2. Cache writes and explicit-cache storage are not included.</t>
  </si>
  <si>
    <t xml:space="preserve">Long-prompt thresholds: 'above 100k' is entered as from 100,001 prompt tokens and 'from 200k' as from 200,000 (k = 1,000); past the threshold the higher price applies to the whole request.</t>
  </si>
  <si>
    <t xml:space="preserve">The Cost of One RAG Answer on Each Tier (Worked Example 27.1)</t>
  </si>
  <si>
    <t xml:space="preserve">Input tokens per query</t>
  </si>
  <si>
    <t xml:space="preserve">Output tokens per query, including reasoning</t>
  </si>
  <si>
    <t xml:space="preserve">Queries per month</t>
  </si>
  <si>
    <t xml:space="preserve">Share of queries sent through the batch interface</t>
  </si>
  <si>
    <t xml:space="preserve">Share of input tokens read from the prompt cache</t>
  </si>
  <si>
    <t xml:space="preserve">Web searches per query</t>
  </si>
  <si>
    <t xml:space="preserve">Web-search fee (US$ per 1,000 searches; Anthropic, Section 27.8.2)</t>
  </si>
  <si>
    <t xml:space="preserve">Model (Table 27.3)</t>
  </si>
  <si>
    <t xml:space="preserve">Higher price from (prompt tokens)</t>
  </si>
  <si>
    <t xml:space="preserve">Input price</t>
  </si>
  <si>
    <t xml:space="preserve">Input price, long prompt</t>
  </si>
  <si>
    <t xml:space="preserve">Output price</t>
  </si>
  <si>
    <t xml:space="preserve">Output price, long prompt</t>
  </si>
  <si>
    <t xml:space="preserve">Batch discount</t>
  </si>
  <si>
    <t xml:space="preserve">Cache read (× input price)</t>
  </si>
  <si>
    <t xml:space="preserve">Share of queries</t>
  </si>
  <si>
    <t xml:space="preserve">Input price applied</t>
  </si>
  <si>
    <t xml:space="preserve">Output price applied</t>
  </si>
  <si>
    <t xml:space="preserve">Cost per query, list (US$)</t>
  </si>
  <si>
    <t xml:space="preserve">Cost per query, batch/cache/tools (US$)</t>
  </si>
  <si>
    <t xml:space="preserve">Monthly cost, all queries on this model (US$)</t>
  </si>
  <si>
    <t xml:space="preserve">Monthly cost of this share (US$)</t>
  </si>
  <si>
    <t xml:space="preserve">Book: cost per query (US$)</t>
  </si>
  <si>
    <t xml:space="preserve">Book: monthly cost (US$)</t>
  </si>
  <si>
    <t xml:space="preserve">Claude Fable 5.1</t>
  </si>
  <si>
    <t xml:space="preserve">Claude Opus 5.5</t>
  </si>
  <si>
    <t xml:space="preserve">Claude Sonnet 5.5</t>
  </si>
  <si>
    <t xml:space="preserve">Claude Haiku 5.5</t>
  </si>
  <si>
    <t xml:space="preserve">GPT-6 Astra</t>
  </si>
  <si>
    <t xml:space="preserve">GPT-6.1 Sol</t>
  </si>
  <si>
    <t xml:space="preserve">GPT-6 Luna</t>
  </si>
  <si>
    <t xml:space="preserve">Gemini 4 Argon (introductory, to 30 Nov 2026)</t>
  </si>
  <si>
    <t xml:space="preserve">Gemini 4 Argon (standard)</t>
  </si>
  <si>
    <t xml:space="preserve">Gemini 3.1 Pro (preview)</t>
  </si>
  <si>
    <t xml:space="preserve">Gemini 3.8 Flash (introductory, to 31 Dec 2026)</t>
  </si>
  <si>
    <t xml:space="preserve">Gemini 3.8 Flash (standard)</t>
  </si>
  <si>
    <t xml:space="preserve">Gemini 3.5 Flash-Lite</t>
  </si>
  <si>
    <t xml:space="preserve">Grok 4.7</t>
  </si>
  <si>
    <t xml:space="preserve">Grok 4.3</t>
  </si>
  <si>
    <t xml:space="preserve">Mix total (must be 100%) and blended cost</t>
  </si>
  <si>
    <t xml:space="preserve">Ratio of the dearest to the cheapest model (list cost per query)</t>
  </si>
  <si>
    <t xml:space="preserve">Ratio</t>
  </si>
  <si>
    <t xml:space="preserve">   Value in the book</t>
  </si>
  <si>
    <t xml:space="preserve">a factor of a hundred</t>
  </si>
  <si>
    <t xml:space="preserve">Long-prompt pricing (Section 27.8): one request to GPT-6.1 Sol</t>
  </si>
  <si>
    <t xml:space="preserve">Prompt tokens</t>
  </si>
  <si>
    <t xml:space="preserve">Answer tokens</t>
  </si>
  <si>
    <t xml:space="preserve">Cost at the long-prompt price (US$)</t>
  </si>
  <si>
    <t xml:space="preserve">Cost if the base price applied (US$)</t>
  </si>
  <si>
    <t xml:space="preserve">Tool fees (Section 27.8.2)</t>
  </si>
  <si>
    <t xml:space="preserve">Cost of one web search (US$)</t>
  </si>
  <si>
    <t xml:space="preserve">   Value in the book (about)</t>
  </si>
  <si>
    <t xml:space="preserve">Web search as a multiple of a low-tier query (Claude Haiku 5.5)</t>
  </si>
  <si>
    <t xml:space="preserve">almost three times</t>
  </si>
  <si>
    <t xml:space="preserve">Reading: model choice changes cost by a factor of a hundred, more than any other decision; route each query to the cheapest model that answers it well and answer routine queries on the Box or Rack.</t>
  </si>
  <si>
    <t xml:space="preserve">Batch and cache discounts are applied together (cache share on input, then the batch discount on the share of queries batched); check whether a provider lets them stack. The book's $1,300 is 'about $1,300' (1,312.5).</t>
  </si>
  <si>
    <t xml:space="preserve">xAI's batch discount (20%) is stated for 'some xAI models' and is applied here to both Grok models; xAI's cache-read multiplier is not in the text (0.1× assumed). Tool fees other than web search are not modeled.</t>
  </si>
  <si>
    <t xml:space="preserve">What Reasoning Effort Costs (Worked Example 27.2)</t>
  </si>
  <si>
    <t xml:space="preserve">Claude Opus 5.5 input price (US$ per million tokens)</t>
  </si>
  <si>
    <t xml:space="preserve">Claude Opus 5.5 output price (US$ per million tokens)</t>
  </si>
  <si>
    <t xml:space="preserve">Comparison model input price: Claude Sonnet 5.5 (US$ per million)</t>
  </si>
  <si>
    <t xml:space="preserve">Comparison model output price: Claude Sonnet 5.5 (US$ per million)</t>
  </si>
  <si>
    <t xml:space="preserve">Input tokens</t>
  </si>
  <si>
    <t xml:space="preserve">Thinking tokens at low effort (assumed in the text)</t>
  </si>
  <si>
    <t xml:space="preserve">Thinking tokens at medium effort</t>
  </si>
  <si>
    <t xml:space="preserve">Thinking tokens at maximum effort</t>
  </si>
  <si>
    <t xml:space="preserve">Output limit (tokens; Claude 5.x)</t>
  </si>
  <si>
    <t xml:space="preserve">Input cost (US$)</t>
  </si>
  <si>
    <t xml:space="preserve">Low effort: cost per answer (US$)</t>
  </si>
  <si>
    <t xml:space="preserve">Medium effort: cost per answer (US$)</t>
  </si>
  <si>
    <t xml:space="preserve">Maximum effort: cost per answer (US$)</t>
  </si>
  <si>
    <t xml:space="preserve">Medium effort as a multiple of low effort</t>
  </si>
  <si>
    <t xml:space="preserve">Maximum effort as a multiple of low effort</t>
  </si>
  <si>
    <t xml:space="preserve">Sonnet 5.5 at maximum effort: cost per answer (US$)</t>
  </si>
  <si>
    <t xml:space="preserve">Sonnet 5.5 at maximum effort as a multiple of Opus 5.5 at low effort</t>
  </si>
  <si>
    <t xml:space="preserve">more than six</t>
  </si>
  <si>
    <t xml:space="preserve">Output cost if the whole output limit is used (US$)</t>
  </si>
  <si>
    <t xml:space="preserve">Request cost at the output limit, with input (US$)</t>
  </si>
  <si>
    <t xml:space="preserve">Reading: effort settings are a cost and latency control as much as a quality control; cap the output of each request and reserve maximum effort for tasks that need it.</t>
  </si>
  <si>
    <t xml:space="preserve">Thinking tokens are billed as output. Opus 5.5 defaults to medium effort and cannot turn thinking off. The book's $2.56 bound counts output tokens only.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</si>
</sst>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.00"/>
    <numFmt numFmtId="169" formatCode="0.000"/>
    <numFmt numFmtId="170" formatCode="0.0000"/>
    <numFmt numFmtId="171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/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8" customFormat="false" ht="15" hidden="false" customHeight="false" outlineLevel="0" collapsed="false">
      <c r="A8" s="6" t="s">
        <v>11</v>
      </c>
    </row>
    <row r="9" customFormat="false" ht="30" hidden="false" customHeight="true" outlineLevel="0" collapsed="false">
      <c r="A9" s="7" t="s">
        <v>12</v>
      </c>
      <c r="B9" s="7"/>
      <c r="C9" s="7"/>
    </row>
    <row r="10" customFormat="false" ht="30" hidden="false" customHeight="true" outlineLevel="0" collapsed="false">
      <c r="A10" s="7" t="s">
        <v>13</v>
      </c>
      <c r="B10" s="7"/>
      <c r="C10" s="7"/>
    </row>
    <row r="11" customFormat="false" ht="30" hidden="false" customHeight="true" outlineLevel="0" collapsed="false">
      <c r="A11" s="7" t="s">
        <v>14</v>
      </c>
      <c r="B11" s="7"/>
      <c r="C11" s="7"/>
    </row>
  </sheetData>
  <mergeCells count="4">
    <mergeCell ref="A2:C2"/>
    <mergeCell ref="A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3" min="12" style="0" width="12"/>
    <col collapsed="false" customWidth="true" hidden="false" outlineLevel="0" max="15" min="14" style="0" width="14"/>
    <col collapsed="false" customWidth="true" hidden="false" outlineLevel="0" max="16" min="16" style="0" width="11"/>
    <col collapsed="false" customWidth="true" hidden="false" outlineLevel="0" max="17" min="17" style="0" width="12"/>
  </cols>
  <sheetData>
    <row r="1" customFormat="false" ht="15.75" hidden="false" customHeight="true" outlineLevel="0" collapsed="false">
      <c r="A1" s="8" t="s">
        <v>15</v>
      </c>
    </row>
    <row r="3" customFormat="false" ht="15" hidden="false" customHeight="true" outlineLevel="0" collapsed="false">
      <c r="A3" s="9" t="s">
        <v>16</v>
      </c>
      <c r="B3" s="10" t="n">
        <v>20000</v>
      </c>
    </row>
    <row r="4" customFormat="false" ht="15" hidden="false" customHeight="true" outlineLevel="0" collapsed="false">
      <c r="A4" s="9" t="s">
        <v>17</v>
      </c>
      <c r="B4" s="10" t="n">
        <v>3000</v>
      </c>
    </row>
    <row r="5" customFormat="false" ht="15" hidden="false" customHeight="true" outlineLevel="0" collapsed="false">
      <c r="A5" s="9" t="s">
        <v>18</v>
      </c>
      <c r="B5" s="10" t="n">
        <v>50000</v>
      </c>
    </row>
    <row r="6" customFormat="false" ht="15" hidden="false" customHeight="true" outlineLevel="0" collapsed="false">
      <c r="A6" s="9" t="s">
        <v>19</v>
      </c>
      <c r="B6" s="11" t="n">
        <v>0</v>
      </c>
    </row>
    <row r="7" customFormat="false" ht="15" hidden="false" customHeight="true" outlineLevel="0" collapsed="false">
      <c r="A7" s="9" t="s">
        <v>20</v>
      </c>
      <c r="B7" s="11" t="n">
        <v>0</v>
      </c>
    </row>
    <row r="8" customFormat="false" ht="15" hidden="false" customHeight="true" outlineLevel="0" collapsed="false">
      <c r="A8" s="9" t="s">
        <v>21</v>
      </c>
      <c r="B8" s="12" t="n">
        <v>0</v>
      </c>
    </row>
    <row r="9" customFormat="false" ht="15" hidden="false" customHeight="true" outlineLevel="0" collapsed="false">
      <c r="A9" s="9" t="s">
        <v>22</v>
      </c>
      <c r="B9" s="13" t="n">
        <v>10</v>
      </c>
    </row>
    <row r="11" customFormat="false" ht="54" hidden="false" customHeight="true" outlineLevel="0" collapsed="false">
      <c r="A11" s="14" t="s">
        <v>23</v>
      </c>
      <c r="B11" s="14" t="s">
        <v>24</v>
      </c>
      <c r="C11" s="14" t="s">
        <v>25</v>
      </c>
      <c r="D11" s="14" t="s">
        <v>26</v>
      </c>
      <c r="E11" s="14" t="s">
        <v>27</v>
      </c>
      <c r="F11" s="14" t="s">
        <v>28</v>
      </c>
      <c r="G11" s="14" t="s">
        <v>29</v>
      </c>
      <c r="H11" s="14" t="s">
        <v>30</v>
      </c>
      <c r="I11" s="14" t="s">
        <v>31</v>
      </c>
      <c r="J11" s="14" t="s">
        <v>32</v>
      </c>
      <c r="K11" s="14" t="s">
        <v>33</v>
      </c>
      <c r="L11" s="14" t="s">
        <v>34</v>
      </c>
      <c r="M11" s="14" t="s">
        <v>35</v>
      </c>
      <c r="N11" s="14" t="s">
        <v>36</v>
      </c>
      <c r="O11" s="14" t="s">
        <v>37</v>
      </c>
      <c r="P11" s="14" t="s">
        <v>38</v>
      </c>
      <c r="Q11" s="14" t="s">
        <v>39</v>
      </c>
    </row>
    <row r="12" customFormat="false" ht="15" hidden="false" customHeight="true" outlineLevel="0" collapsed="false">
      <c r="A12" s="15" t="s">
        <v>40</v>
      </c>
      <c r="B12" s="10"/>
      <c r="C12" s="13" t="n">
        <v>10</v>
      </c>
      <c r="D12" s="13"/>
      <c r="E12" s="13" t="n">
        <v>50</v>
      </c>
      <c r="F12" s="13"/>
      <c r="G12" s="11" t="n">
        <v>0.5</v>
      </c>
      <c r="H12" s="16" t="n">
        <v>0.025</v>
      </c>
      <c r="I12" s="11" t="n">
        <v>0</v>
      </c>
      <c r="J12" s="17" t="n">
        <f aca="false">IF(B12="",C12,IF(B3&gt;=B12,D12,C12))</f>
        <v>10</v>
      </c>
      <c r="K12" s="17" t="n">
        <f aca="false">IF(B12="",E12,IF(B3&gt;=B12,F12,E12))</f>
        <v>50</v>
      </c>
      <c r="L12" s="18" t="n">
        <f aca="false">(B3*J12+B4*K12)/1000000</f>
        <v>0.35</v>
      </c>
      <c r="M12" s="18" t="n">
        <f aca="false">(B3*J12*(1-B7+B7*H12)+B4*K12)/1000000*(1-B6*G12)+B8*B9/1000</f>
        <v>0.35</v>
      </c>
      <c r="N12" s="19" t="n">
        <f aca="false">M12*B5</f>
        <v>17500</v>
      </c>
      <c r="O12" s="20" t="n">
        <f aca="false">N12*I12</f>
        <v>0</v>
      </c>
      <c r="P12" s="21" t="n">
        <v>0.35</v>
      </c>
      <c r="Q12" s="22" t="n">
        <v>17500</v>
      </c>
    </row>
    <row r="13" customFormat="false" ht="15" hidden="false" customHeight="true" outlineLevel="0" collapsed="false">
      <c r="A13" s="15" t="s">
        <v>41</v>
      </c>
      <c r="B13" s="10"/>
      <c r="C13" s="13" t="n">
        <v>4</v>
      </c>
      <c r="D13" s="13"/>
      <c r="E13" s="13" t="n">
        <v>20</v>
      </c>
      <c r="F13" s="13"/>
      <c r="G13" s="11" t="n">
        <v>0.5</v>
      </c>
      <c r="H13" s="16" t="n">
        <v>0.05</v>
      </c>
      <c r="I13" s="11" t="n">
        <v>0</v>
      </c>
      <c r="J13" s="17" t="n">
        <f aca="false">IF(B13="",C13,IF(B3&gt;=B13,D13,C13))</f>
        <v>4</v>
      </c>
      <c r="K13" s="17" t="n">
        <f aca="false">IF(B13="",E13,IF(B3&gt;=B13,F13,E13))</f>
        <v>20</v>
      </c>
      <c r="L13" s="18" t="n">
        <f aca="false">(B3*J13+B4*K13)/1000000</f>
        <v>0.14</v>
      </c>
      <c r="M13" s="18" t="n">
        <f aca="false">(B3*J13*(1-B7+B7*H13)+B4*K13)/1000000*(1-B6*G13)+B8*B9/1000</f>
        <v>0.14</v>
      </c>
      <c r="N13" s="19" t="n">
        <f aca="false">M13*B5</f>
        <v>7000</v>
      </c>
      <c r="O13" s="20" t="n">
        <f aca="false">N13*I13</f>
        <v>0</v>
      </c>
      <c r="P13" s="21" t="n">
        <v>0.14</v>
      </c>
      <c r="Q13" s="22"/>
    </row>
    <row r="14" customFormat="false" ht="15" hidden="false" customHeight="true" outlineLevel="0" collapsed="false">
      <c r="A14" s="15" t="s">
        <v>42</v>
      </c>
      <c r="B14" s="10"/>
      <c r="C14" s="13" t="n">
        <v>2</v>
      </c>
      <c r="D14" s="13"/>
      <c r="E14" s="13" t="n">
        <v>10</v>
      </c>
      <c r="F14" s="13"/>
      <c r="G14" s="11" t="n">
        <v>0.5</v>
      </c>
      <c r="H14" s="16" t="n">
        <v>0.05</v>
      </c>
      <c r="I14" s="11" t="n">
        <v>1</v>
      </c>
      <c r="J14" s="17" t="n">
        <f aca="false">IF(B14="",C14,IF(B3&gt;=B14,D14,C14))</f>
        <v>2</v>
      </c>
      <c r="K14" s="17" t="n">
        <f aca="false">IF(B14="",E14,IF(B3&gt;=B14,F14,E14))</f>
        <v>10</v>
      </c>
      <c r="L14" s="18" t="n">
        <f aca="false">(B3*J14+B4*K14)/1000000</f>
        <v>0.07</v>
      </c>
      <c r="M14" s="18" t="n">
        <f aca="false">(B3*J14*(1-B7+B7*H14)+B4*K14)/1000000*(1-B6*G14)+B8*B9/1000</f>
        <v>0.07</v>
      </c>
      <c r="N14" s="19" t="n">
        <f aca="false">M14*B5</f>
        <v>3500</v>
      </c>
      <c r="O14" s="20" t="n">
        <f aca="false">N14*I14</f>
        <v>3500</v>
      </c>
      <c r="P14" s="21" t="n">
        <v>0.07</v>
      </c>
      <c r="Q14" s="22" t="n">
        <v>3500</v>
      </c>
    </row>
    <row r="15" customFormat="false" ht="15" hidden="false" customHeight="true" outlineLevel="0" collapsed="false">
      <c r="A15" s="15" t="s">
        <v>43</v>
      </c>
      <c r="B15" s="10" t="n">
        <v>100001</v>
      </c>
      <c r="C15" s="13" t="n">
        <v>0.1</v>
      </c>
      <c r="D15" s="13" t="n">
        <v>0.5</v>
      </c>
      <c r="E15" s="13" t="n">
        <v>0.5</v>
      </c>
      <c r="F15" s="13" t="n">
        <v>2.5</v>
      </c>
      <c r="G15" s="11" t="n">
        <v>0.5</v>
      </c>
      <c r="H15" s="16" t="n">
        <v>0.1</v>
      </c>
      <c r="I15" s="11" t="n">
        <v>0</v>
      </c>
      <c r="J15" s="17" t="n">
        <f aca="false">IF(B15="",C15,IF(B3&gt;=B15,D15,C15))</f>
        <v>0.1</v>
      </c>
      <c r="K15" s="17" t="n">
        <f aca="false">IF(B15="",E15,IF(B3&gt;=B15,F15,E15))</f>
        <v>0.5</v>
      </c>
      <c r="L15" s="18" t="n">
        <f aca="false">(B3*J15+B4*K15)/1000000</f>
        <v>0.0035</v>
      </c>
      <c r="M15" s="18" t="n">
        <f aca="false">(B3*J15*(1-B7+B7*H15)+B4*K15)/1000000*(1-B6*G15)+B8*B9/1000</f>
        <v>0.0035</v>
      </c>
      <c r="N15" s="19" t="n">
        <f aca="false">M15*B5</f>
        <v>175</v>
      </c>
      <c r="O15" s="20" t="n">
        <f aca="false">N15*I15</f>
        <v>0</v>
      </c>
      <c r="P15" s="21" t="n">
        <v>0.0035</v>
      </c>
      <c r="Q15" s="22" t="n">
        <v>175</v>
      </c>
    </row>
    <row r="16" customFormat="false" ht="15" hidden="false" customHeight="true" outlineLevel="0" collapsed="false">
      <c r="A16" s="15" t="s">
        <v>44</v>
      </c>
      <c r="B16" s="10" t="n">
        <v>272001</v>
      </c>
      <c r="C16" s="13" t="n">
        <v>10</v>
      </c>
      <c r="D16" s="13" t="n">
        <v>20</v>
      </c>
      <c r="E16" s="13" t="n">
        <v>50</v>
      </c>
      <c r="F16" s="13" t="n">
        <v>75</v>
      </c>
      <c r="G16" s="11" t="n">
        <v>0.5</v>
      </c>
      <c r="H16" s="16" t="n">
        <v>0.1</v>
      </c>
      <c r="I16" s="11" t="n">
        <v>0</v>
      </c>
      <c r="J16" s="17" t="n">
        <f aca="false">IF(B16="",C16,IF(B3&gt;=B16,D16,C16))</f>
        <v>10</v>
      </c>
      <c r="K16" s="17" t="n">
        <f aca="false">IF(B16="",E16,IF(B3&gt;=B16,F16,E16))</f>
        <v>50</v>
      </c>
      <c r="L16" s="18" t="n">
        <f aca="false">(B3*J16+B4*K16)/1000000</f>
        <v>0.35</v>
      </c>
      <c r="M16" s="18" t="n">
        <f aca="false">(B3*J16*(1-B7+B7*H16)+B4*K16)/1000000*(1-B6*G16)+B8*B9/1000</f>
        <v>0.35</v>
      </c>
      <c r="N16" s="19" t="n">
        <f aca="false">M16*B5</f>
        <v>17500</v>
      </c>
      <c r="O16" s="20" t="n">
        <f aca="false">N16*I16</f>
        <v>0</v>
      </c>
      <c r="P16" s="21" t="n">
        <v>0.35</v>
      </c>
      <c r="Q16" s="22" t="n">
        <v>17500</v>
      </c>
    </row>
    <row r="17" customFormat="false" ht="15" hidden="false" customHeight="true" outlineLevel="0" collapsed="false">
      <c r="A17" s="15" t="s">
        <v>45</v>
      </c>
      <c r="B17" s="10" t="n">
        <v>272001</v>
      </c>
      <c r="C17" s="13" t="n">
        <v>2</v>
      </c>
      <c r="D17" s="13" t="n">
        <v>4</v>
      </c>
      <c r="E17" s="13" t="n">
        <v>10</v>
      </c>
      <c r="F17" s="13" t="n">
        <v>15</v>
      </c>
      <c r="G17" s="11" t="n">
        <v>0.5</v>
      </c>
      <c r="H17" s="16" t="n">
        <v>0.05</v>
      </c>
      <c r="I17" s="11" t="n">
        <v>0</v>
      </c>
      <c r="J17" s="17" t="n">
        <f aca="false">IF(B17="",C17,IF(B3&gt;=B17,D17,C17))</f>
        <v>2</v>
      </c>
      <c r="K17" s="17" t="n">
        <f aca="false">IF(B17="",E17,IF(B3&gt;=B17,F17,E17))</f>
        <v>10</v>
      </c>
      <c r="L17" s="18" t="n">
        <f aca="false">(B3*J17+B4*K17)/1000000</f>
        <v>0.07</v>
      </c>
      <c r="M17" s="18" t="n">
        <f aca="false">(B3*J17*(1-B7+B7*H17)+B4*K17)/1000000*(1-B6*G17)+B8*B9/1000</f>
        <v>0.07</v>
      </c>
      <c r="N17" s="19" t="n">
        <f aca="false">M17*B5</f>
        <v>3500</v>
      </c>
      <c r="O17" s="20" t="n">
        <f aca="false">N17*I17</f>
        <v>0</v>
      </c>
      <c r="P17" s="21" t="n">
        <v>0.07</v>
      </c>
      <c r="Q17" s="22" t="n">
        <v>3500</v>
      </c>
    </row>
    <row r="18" customFormat="false" ht="15" hidden="false" customHeight="true" outlineLevel="0" collapsed="false">
      <c r="A18" s="15" t="s">
        <v>46</v>
      </c>
      <c r="B18" s="10" t="n">
        <v>272001</v>
      </c>
      <c r="C18" s="13" t="n">
        <v>0.1</v>
      </c>
      <c r="D18" s="13" t="n">
        <v>0.2</v>
      </c>
      <c r="E18" s="13" t="n">
        <v>0.5</v>
      </c>
      <c r="F18" s="13" t="n">
        <v>0.75</v>
      </c>
      <c r="G18" s="11" t="n">
        <v>0.5</v>
      </c>
      <c r="H18" s="16" t="n">
        <v>0.1</v>
      </c>
      <c r="I18" s="11" t="n">
        <v>0</v>
      </c>
      <c r="J18" s="17" t="n">
        <f aca="false">IF(B18="",C18,IF(B3&gt;=B18,D18,C18))</f>
        <v>0.1</v>
      </c>
      <c r="K18" s="17" t="n">
        <f aca="false">IF(B18="",E18,IF(B3&gt;=B18,F18,E18))</f>
        <v>0.5</v>
      </c>
      <c r="L18" s="18" t="n">
        <f aca="false">(B3*J18+B4*K18)/1000000</f>
        <v>0.0035</v>
      </c>
      <c r="M18" s="18" t="n">
        <f aca="false">(B3*J18*(1-B7+B7*H18)+B4*K18)/1000000*(1-B6*G18)+B8*B9/1000</f>
        <v>0.0035</v>
      </c>
      <c r="N18" s="19" t="n">
        <f aca="false">M18*B5</f>
        <v>175</v>
      </c>
      <c r="O18" s="20" t="n">
        <f aca="false">N18*I18</f>
        <v>0</v>
      </c>
      <c r="P18" s="21" t="n">
        <v>0.0035</v>
      </c>
      <c r="Q18" s="22" t="n">
        <v>175</v>
      </c>
    </row>
    <row r="19" customFormat="false" ht="15" hidden="false" customHeight="true" outlineLevel="0" collapsed="false">
      <c r="A19" s="15" t="s">
        <v>47</v>
      </c>
      <c r="B19" s="10"/>
      <c r="C19" s="13" t="n">
        <v>2</v>
      </c>
      <c r="D19" s="13"/>
      <c r="E19" s="13" t="n">
        <v>10</v>
      </c>
      <c r="F19" s="13"/>
      <c r="G19" s="11" t="n">
        <v>0.5</v>
      </c>
      <c r="H19" s="16" t="n">
        <v>0.1</v>
      </c>
      <c r="I19" s="11" t="n">
        <v>0</v>
      </c>
      <c r="J19" s="17" t="n">
        <f aca="false">IF(B19="",C19,IF(B3&gt;=B19,D19,C19))</f>
        <v>2</v>
      </c>
      <c r="K19" s="17" t="n">
        <f aca="false">IF(B19="",E19,IF(B3&gt;=B19,F19,E19))</f>
        <v>10</v>
      </c>
      <c r="L19" s="18" t="n">
        <f aca="false">(B3*J19+B4*K19)/1000000</f>
        <v>0.07</v>
      </c>
      <c r="M19" s="18" t="n">
        <f aca="false">(B3*J19*(1-B7+B7*H19)+B4*K19)/1000000*(1-B6*G19)+B8*B9/1000</f>
        <v>0.07</v>
      </c>
      <c r="N19" s="19" t="n">
        <f aca="false">M19*B5</f>
        <v>3500</v>
      </c>
      <c r="O19" s="20" t="n">
        <f aca="false">N19*I19</f>
        <v>0</v>
      </c>
      <c r="P19" s="21" t="n">
        <v>0.07</v>
      </c>
      <c r="Q19" s="22" t="n">
        <v>3500</v>
      </c>
    </row>
    <row r="20" customFormat="false" ht="15" hidden="false" customHeight="true" outlineLevel="0" collapsed="false">
      <c r="A20" s="15" t="s">
        <v>48</v>
      </c>
      <c r="B20" s="10"/>
      <c r="C20" s="13" t="n">
        <v>4</v>
      </c>
      <c r="D20" s="13"/>
      <c r="E20" s="13" t="n">
        <v>20</v>
      </c>
      <c r="F20" s="13"/>
      <c r="G20" s="11" t="n">
        <v>0.5</v>
      </c>
      <c r="H20" s="16" t="n">
        <v>0.1</v>
      </c>
      <c r="I20" s="11" t="n">
        <v>0</v>
      </c>
      <c r="J20" s="17" t="n">
        <f aca="false">IF(B20="",C20,IF(B3&gt;=B20,D20,C20))</f>
        <v>4</v>
      </c>
      <c r="K20" s="17" t="n">
        <f aca="false">IF(B20="",E20,IF(B3&gt;=B20,F20,E20))</f>
        <v>20</v>
      </c>
      <c r="L20" s="18" t="n">
        <f aca="false">(B3*J20+B4*K20)/1000000</f>
        <v>0.14</v>
      </c>
      <c r="M20" s="18" t="n">
        <f aca="false">(B3*J20*(1-B7+B7*H20)+B4*K20)/1000000*(1-B6*G20)+B8*B9/1000</f>
        <v>0.14</v>
      </c>
      <c r="N20" s="19" t="n">
        <f aca="false">M20*B5</f>
        <v>7000</v>
      </c>
      <c r="O20" s="20" t="n">
        <f aca="false">N20*I20</f>
        <v>0</v>
      </c>
      <c r="P20" s="21" t="n">
        <v>0.14</v>
      </c>
      <c r="Q20" s="22"/>
    </row>
    <row r="21" customFormat="false" ht="15" hidden="false" customHeight="true" outlineLevel="0" collapsed="false">
      <c r="A21" s="15" t="s">
        <v>49</v>
      </c>
      <c r="B21" s="10" t="n">
        <v>200001</v>
      </c>
      <c r="C21" s="13" t="n">
        <v>2</v>
      </c>
      <c r="D21" s="13" t="n">
        <v>4</v>
      </c>
      <c r="E21" s="13" t="n">
        <v>12</v>
      </c>
      <c r="F21" s="13" t="n">
        <v>18</v>
      </c>
      <c r="G21" s="11" t="n">
        <v>0.5</v>
      </c>
      <c r="H21" s="16" t="n">
        <v>0.1</v>
      </c>
      <c r="I21" s="11" t="n">
        <v>0</v>
      </c>
      <c r="J21" s="17" t="n">
        <f aca="false">IF(B21="",C21,IF(B3&gt;=B21,D21,C21))</f>
        <v>2</v>
      </c>
      <c r="K21" s="17" t="n">
        <f aca="false">IF(B21="",E21,IF(B3&gt;=B21,F21,E21))</f>
        <v>12</v>
      </c>
      <c r="L21" s="18" t="n">
        <f aca="false">(B3*J21+B4*K21)/1000000</f>
        <v>0.076</v>
      </c>
      <c r="M21" s="18" t="n">
        <f aca="false">(B3*J21*(1-B7+B7*H21)+B4*K21)/1000000*(1-B6*G21)+B8*B9/1000</f>
        <v>0.076</v>
      </c>
      <c r="N21" s="19" t="n">
        <f aca="false">M21*B5</f>
        <v>3800</v>
      </c>
      <c r="O21" s="20" t="n">
        <f aca="false">N21*I21</f>
        <v>0</v>
      </c>
      <c r="P21" s="21" t="n">
        <v>0.076</v>
      </c>
      <c r="Q21" s="22"/>
    </row>
    <row r="22" customFormat="false" ht="15" hidden="false" customHeight="true" outlineLevel="0" collapsed="false">
      <c r="A22" s="15" t="s">
        <v>50</v>
      </c>
      <c r="B22" s="10"/>
      <c r="C22" s="13" t="n">
        <v>0.75</v>
      </c>
      <c r="D22" s="13"/>
      <c r="E22" s="13" t="n">
        <v>3.75</v>
      </c>
      <c r="F22" s="13"/>
      <c r="G22" s="11" t="n">
        <v>0.5</v>
      </c>
      <c r="H22" s="16" t="n">
        <v>0.1</v>
      </c>
      <c r="I22" s="11" t="n">
        <v>0</v>
      </c>
      <c r="J22" s="17" t="n">
        <f aca="false">IF(B22="",C22,IF(B3&gt;=B22,D22,C22))</f>
        <v>0.75</v>
      </c>
      <c r="K22" s="17" t="n">
        <f aca="false">IF(B22="",E22,IF(B3&gt;=B22,F22,E22))</f>
        <v>3.75</v>
      </c>
      <c r="L22" s="18" t="n">
        <f aca="false">(B3*J22+B4*K22)/1000000</f>
        <v>0.02625</v>
      </c>
      <c r="M22" s="18" t="n">
        <f aca="false">(B3*J22*(1-B7+B7*H22)+B4*K22)/1000000*(1-B6*G22)+B8*B9/1000</f>
        <v>0.02625</v>
      </c>
      <c r="N22" s="19" t="n">
        <f aca="false">M22*B5</f>
        <v>1312.5</v>
      </c>
      <c r="O22" s="20" t="n">
        <f aca="false">N22*I22</f>
        <v>0</v>
      </c>
      <c r="P22" s="21" t="n">
        <v>0.026</v>
      </c>
      <c r="Q22" s="22" t="n">
        <v>1300</v>
      </c>
    </row>
    <row r="23" customFormat="false" ht="15" hidden="false" customHeight="true" outlineLevel="0" collapsed="false">
      <c r="A23" s="15" t="s">
        <v>51</v>
      </c>
      <c r="B23" s="10"/>
      <c r="C23" s="13" t="n">
        <v>1.5</v>
      </c>
      <c r="D23" s="13"/>
      <c r="E23" s="13" t="n">
        <v>7.5</v>
      </c>
      <c r="F23" s="13"/>
      <c r="G23" s="11" t="n">
        <v>0.5</v>
      </c>
      <c r="H23" s="16" t="n">
        <v>0.1</v>
      </c>
      <c r="I23" s="11" t="n">
        <v>0</v>
      </c>
      <c r="J23" s="17" t="n">
        <f aca="false">IF(B23="",C23,IF(B3&gt;=B23,D23,C23))</f>
        <v>1.5</v>
      </c>
      <c r="K23" s="17" t="n">
        <f aca="false">IF(B23="",E23,IF(B3&gt;=B23,F23,E23))</f>
        <v>7.5</v>
      </c>
      <c r="L23" s="18" t="n">
        <f aca="false">(B3*J23+B4*K23)/1000000</f>
        <v>0.0525</v>
      </c>
      <c r="M23" s="18" t="n">
        <f aca="false">(B3*J23*(1-B7+B7*H23)+B4*K23)/1000000*(1-B6*G23)+B8*B9/1000</f>
        <v>0.0525</v>
      </c>
      <c r="N23" s="19" t="n">
        <f aca="false">M23*B5</f>
        <v>2625</v>
      </c>
      <c r="O23" s="20" t="n">
        <f aca="false">N23*I23</f>
        <v>0</v>
      </c>
      <c r="P23" s="21" t="n">
        <v>0.053</v>
      </c>
      <c r="Q23" s="22" t="n">
        <v>2625</v>
      </c>
    </row>
    <row r="24" customFormat="false" ht="15" hidden="false" customHeight="true" outlineLevel="0" collapsed="false">
      <c r="A24" s="15" t="s">
        <v>52</v>
      </c>
      <c r="B24" s="10"/>
      <c r="C24" s="13" t="n">
        <v>0.3</v>
      </c>
      <c r="D24" s="13"/>
      <c r="E24" s="13" t="n">
        <v>2.5</v>
      </c>
      <c r="F24" s="13"/>
      <c r="G24" s="11" t="n">
        <v>0.5</v>
      </c>
      <c r="H24" s="16" t="n">
        <v>0.1</v>
      </c>
      <c r="I24" s="11" t="n">
        <v>0</v>
      </c>
      <c r="J24" s="17" t="n">
        <f aca="false">IF(B24="",C24,IF(B3&gt;=B24,D24,C24))</f>
        <v>0.3</v>
      </c>
      <c r="K24" s="17" t="n">
        <f aca="false">IF(B24="",E24,IF(B3&gt;=B24,F24,E24))</f>
        <v>2.5</v>
      </c>
      <c r="L24" s="18" t="n">
        <f aca="false">(B3*J24+B4*K24)/1000000</f>
        <v>0.0135</v>
      </c>
      <c r="M24" s="18" t="n">
        <f aca="false">(B3*J24*(1-B7+B7*H24)+B4*K24)/1000000*(1-B6*G24)+B8*B9/1000</f>
        <v>0.0135</v>
      </c>
      <c r="N24" s="19" t="n">
        <f aca="false">M24*B5</f>
        <v>675</v>
      </c>
      <c r="O24" s="20" t="n">
        <f aca="false">N24*I24</f>
        <v>0</v>
      </c>
      <c r="P24" s="21"/>
      <c r="Q24" s="22"/>
    </row>
    <row r="25" customFormat="false" ht="15" hidden="false" customHeight="true" outlineLevel="0" collapsed="false">
      <c r="A25" s="15" t="s">
        <v>53</v>
      </c>
      <c r="B25" s="10" t="n">
        <v>200000</v>
      </c>
      <c r="C25" s="13" t="n">
        <v>2</v>
      </c>
      <c r="D25" s="13" t="n">
        <v>4</v>
      </c>
      <c r="E25" s="13" t="n">
        <v>6</v>
      </c>
      <c r="F25" s="13" t="n">
        <v>12</v>
      </c>
      <c r="G25" s="11" t="n">
        <v>0.2</v>
      </c>
      <c r="H25" s="16" t="n">
        <v>0.1</v>
      </c>
      <c r="I25" s="11" t="n">
        <v>0</v>
      </c>
      <c r="J25" s="17" t="n">
        <f aca="false">IF(B25="",C25,IF(B3&gt;=B25,D25,C25))</f>
        <v>2</v>
      </c>
      <c r="K25" s="17" t="n">
        <f aca="false">IF(B25="",E25,IF(B3&gt;=B25,F25,E25))</f>
        <v>6</v>
      </c>
      <c r="L25" s="18" t="n">
        <f aca="false">(B3*J25+B4*K25)/1000000</f>
        <v>0.058</v>
      </c>
      <c r="M25" s="18" t="n">
        <f aca="false">(B3*J25*(1-B7+B7*H25)+B4*K25)/1000000*(1-B6*G25)+B8*B9/1000</f>
        <v>0.058</v>
      </c>
      <c r="N25" s="19" t="n">
        <f aca="false">M25*B5</f>
        <v>2900</v>
      </c>
      <c r="O25" s="20" t="n">
        <f aca="false">N25*I25</f>
        <v>0</v>
      </c>
      <c r="P25" s="21" t="n">
        <v>0.058</v>
      </c>
      <c r="Q25" s="22"/>
    </row>
    <row r="26" customFormat="false" ht="15" hidden="false" customHeight="true" outlineLevel="0" collapsed="false">
      <c r="A26" s="15" t="s">
        <v>54</v>
      </c>
      <c r="B26" s="10" t="n">
        <v>200000</v>
      </c>
      <c r="C26" s="13" t="n">
        <v>1.25</v>
      </c>
      <c r="D26" s="13" t="n">
        <v>2.5</v>
      </c>
      <c r="E26" s="13" t="n">
        <v>2.5</v>
      </c>
      <c r="F26" s="13" t="n">
        <v>5</v>
      </c>
      <c r="G26" s="11" t="n">
        <v>0.2</v>
      </c>
      <c r="H26" s="16" t="n">
        <v>0.1</v>
      </c>
      <c r="I26" s="11" t="n">
        <v>0</v>
      </c>
      <c r="J26" s="17" t="n">
        <f aca="false">IF(B26="",C26,IF(B3&gt;=B26,D26,C26))</f>
        <v>1.25</v>
      </c>
      <c r="K26" s="17" t="n">
        <f aca="false">IF(B26="",E26,IF(B3&gt;=B26,F26,E26))</f>
        <v>2.5</v>
      </c>
      <c r="L26" s="18" t="n">
        <f aca="false">(B3*J26+B4*K26)/1000000</f>
        <v>0.0325</v>
      </c>
      <c r="M26" s="18" t="n">
        <f aca="false">(B3*J26*(1-B7+B7*H26)+B4*K26)/1000000*(1-B6*G26)+B8*B9/1000</f>
        <v>0.0325</v>
      </c>
      <c r="N26" s="19" t="n">
        <f aca="false">M26*B5</f>
        <v>1625</v>
      </c>
      <c r="O26" s="20" t="n">
        <f aca="false">N26*I26</f>
        <v>0</v>
      </c>
      <c r="P26" s="21"/>
      <c r="Q26" s="22"/>
    </row>
    <row r="27" customFormat="false" ht="15" hidden="false" customHeight="false" outlineLevel="0" collapsed="false">
      <c r="A27" s="23" t="s">
        <v>55</v>
      </c>
      <c r="I27" s="24" t="n">
        <f aca="false">SUM(I12:I26)</f>
        <v>1</v>
      </c>
      <c r="M27" s="18" t="n">
        <f aca="false">IF(I27=0,0,O27/B5)</f>
        <v>0.07</v>
      </c>
      <c r="O27" s="19" t="n">
        <f aca="false">SUM(O12:O26)</f>
        <v>3500</v>
      </c>
    </row>
    <row r="29" customFormat="false" ht="15" hidden="false" customHeight="true" outlineLevel="0" collapsed="false">
      <c r="A29" s="6" t="s">
        <v>56</v>
      </c>
    </row>
    <row r="30" customFormat="false" ht="15" hidden="false" customHeight="true" outlineLevel="0" collapsed="false">
      <c r="A30" s="23" t="s">
        <v>57</v>
      </c>
      <c r="B30" s="25" t="n">
        <f aca="false">MAX(L12:L26)/MIN(L12:L26)</f>
        <v>100</v>
      </c>
    </row>
    <row r="31" customFormat="false" ht="15" hidden="false" customHeight="true" outlineLevel="0" collapsed="false">
      <c r="A31" s="26" t="s">
        <v>58</v>
      </c>
      <c r="B31" s="26" t="s">
        <v>59</v>
      </c>
    </row>
    <row r="33" customFormat="false" ht="15" hidden="false" customHeight="true" outlineLevel="0" collapsed="false">
      <c r="A33" s="6" t="s">
        <v>60</v>
      </c>
    </row>
    <row r="34" customFormat="false" ht="15" hidden="false" customHeight="true" outlineLevel="0" collapsed="false">
      <c r="A34" s="9" t="s">
        <v>61</v>
      </c>
      <c r="B34" s="10" t="n">
        <v>500000</v>
      </c>
    </row>
    <row r="35" customFormat="false" ht="15" hidden="false" customHeight="true" outlineLevel="0" collapsed="false">
      <c r="A35" s="9" t="s">
        <v>62</v>
      </c>
      <c r="B35" s="10" t="n">
        <v>5000</v>
      </c>
    </row>
    <row r="36" customFormat="false" ht="15" hidden="false" customHeight="true" outlineLevel="0" collapsed="false">
      <c r="A36" s="23" t="s">
        <v>63</v>
      </c>
      <c r="B36" s="27" t="n">
        <f aca="false">(IF(B34&gt;=B17,D17,C17)*B34+IF(B34&gt;=B17,F17,E17)*B35)/1000000</f>
        <v>2.075</v>
      </c>
    </row>
    <row r="37" customFormat="false" ht="15" hidden="false" customHeight="true" outlineLevel="0" collapsed="false">
      <c r="A37" s="26" t="s">
        <v>58</v>
      </c>
      <c r="B37" s="28" t="n">
        <v>2.08</v>
      </c>
    </row>
    <row r="38" customFormat="false" ht="15" hidden="false" customHeight="true" outlineLevel="0" collapsed="false">
      <c r="A38" s="23" t="s">
        <v>64</v>
      </c>
      <c r="B38" s="27" t="n">
        <f aca="false">(C17*B34+E17*B35)/1000000</f>
        <v>1.05</v>
      </c>
    </row>
    <row r="39" customFormat="false" ht="15" hidden="false" customHeight="true" outlineLevel="0" collapsed="false">
      <c r="A39" s="26" t="s">
        <v>58</v>
      </c>
      <c r="B39" s="28" t="n">
        <v>1.05</v>
      </c>
    </row>
    <row r="41" customFormat="false" ht="15" hidden="false" customHeight="true" outlineLevel="0" collapsed="false">
      <c r="A41" s="6" t="s">
        <v>65</v>
      </c>
    </row>
    <row r="42" customFormat="false" ht="15" hidden="false" customHeight="true" outlineLevel="0" collapsed="false">
      <c r="A42" s="23" t="s">
        <v>66</v>
      </c>
      <c r="B42" s="27" t="n">
        <f aca="false">B9/1000</f>
        <v>0.01</v>
      </c>
    </row>
    <row r="43" customFormat="false" ht="15" hidden="false" customHeight="true" outlineLevel="0" collapsed="false">
      <c r="A43" s="26" t="s">
        <v>67</v>
      </c>
      <c r="B43" s="28" t="n">
        <v>0.01</v>
      </c>
    </row>
    <row r="44" customFormat="false" ht="15" hidden="false" customHeight="true" outlineLevel="0" collapsed="false">
      <c r="A44" s="23" t="s">
        <v>68</v>
      </c>
      <c r="B44" s="29" t="n">
        <f aca="false">B42/L15</f>
        <v>2.85714285714286</v>
      </c>
    </row>
    <row r="45" customFormat="false" ht="15" hidden="false" customHeight="true" outlineLevel="0" collapsed="false">
      <c r="A45" s="26" t="s">
        <v>58</v>
      </c>
      <c r="B45" s="26" t="s">
        <v>69</v>
      </c>
    </row>
    <row r="47" customFormat="false" ht="15" hidden="false" customHeight="true" outlineLevel="0" collapsed="false">
      <c r="A47" s="30" t="s">
        <v>70</v>
      </c>
    </row>
    <row r="48" customFormat="false" ht="15" hidden="false" customHeight="true" outlineLevel="0" collapsed="false">
      <c r="A48" s="30" t="s">
        <v>71</v>
      </c>
    </row>
    <row r="49" customFormat="false" ht="15" hidden="false" customHeight="true" outlineLevel="0" collapsed="false">
      <c r="A49" s="3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8" t="s">
        <v>73</v>
      </c>
    </row>
    <row r="3" customFormat="false" ht="15" hidden="false" customHeight="true" outlineLevel="0" collapsed="false">
      <c r="A3" s="9" t="s">
        <v>74</v>
      </c>
      <c r="B3" s="13" t="n">
        <v>4</v>
      </c>
    </row>
    <row r="4" customFormat="false" ht="15" hidden="false" customHeight="true" outlineLevel="0" collapsed="false">
      <c r="A4" s="9" t="s">
        <v>75</v>
      </c>
      <c r="B4" s="13" t="n">
        <v>20</v>
      </c>
    </row>
    <row r="5" customFormat="false" ht="15" hidden="false" customHeight="true" outlineLevel="0" collapsed="false">
      <c r="A5" s="9" t="s">
        <v>76</v>
      </c>
      <c r="B5" s="13" t="n">
        <v>2</v>
      </c>
    </row>
    <row r="6" customFormat="false" ht="15" hidden="false" customHeight="true" outlineLevel="0" collapsed="false">
      <c r="A6" s="9" t="s">
        <v>77</v>
      </c>
      <c r="B6" s="13" t="n">
        <v>10</v>
      </c>
    </row>
    <row r="7" customFormat="false" ht="15" hidden="false" customHeight="true" outlineLevel="0" collapsed="false">
      <c r="A7" s="9" t="s">
        <v>78</v>
      </c>
      <c r="B7" s="10" t="n">
        <v>5000</v>
      </c>
    </row>
    <row r="8" customFormat="false" ht="15" hidden="false" customHeight="true" outlineLevel="0" collapsed="false">
      <c r="A8" s="9" t="s">
        <v>62</v>
      </c>
      <c r="B8" s="10" t="n">
        <v>1000</v>
      </c>
    </row>
    <row r="9" customFormat="false" ht="15" hidden="false" customHeight="true" outlineLevel="0" collapsed="false">
      <c r="A9" s="9" t="s">
        <v>79</v>
      </c>
      <c r="B9" s="10" t="n">
        <v>500</v>
      </c>
    </row>
    <row r="10" customFormat="false" ht="15" hidden="false" customHeight="true" outlineLevel="0" collapsed="false">
      <c r="A10" s="9" t="s">
        <v>80</v>
      </c>
      <c r="B10" s="10" t="n">
        <v>8000</v>
      </c>
    </row>
    <row r="11" customFormat="false" ht="15" hidden="false" customHeight="true" outlineLevel="0" collapsed="false">
      <c r="A11" s="9" t="s">
        <v>81</v>
      </c>
      <c r="B11" s="10" t="n">
        <v>30000</v>
      </c>
    </row>
    <row r="12" customFormat="false" ht="15" hidden="false" customHeight="true" outlineLevel="0" collapsed="false">
      <c r="A12" s="9" t="s">
        <v>82</v>
      </c>
      <c r="B12" s="10" t="n">
        <v>128000</v>
      </c>
    </row>
    <row r="14" customFormat="false" ht="15" hidden="false" customHeight="true" outlineLevel="0" collapsed="false">
      <c r="A14" s="23" t="s">
        <v>83</v>
      </c>
      <c r="B14" s="27" t="n">
        <f aca="false">B7*B3/1000000</f>
        <v>0.02</v>
      </c>
    </row>
    <row r="15" customFormat="false" ht="15" hidden="false" customHeight="true" outlineLevel="0" collapsed="false">
      <c r="A15" s="26" t="s">
        <v>58</v>
      </c>
      <c r="B15" s="28" t="n">
        <v>0.02</v>
      </c>
    </row>
    <row r="16" customFormat="false" ht="15" hidden="false" customHeight="true" outlineLevel="0" collapsed="false">
      <c r="A16" s="23" t="s">
        <v>84</v>
      </c>
      <c r="B16" s="27" t="n">
        <f aca="false">B14+(B8+B9)*B4/1000000</f>
        <v>0.05</v>
      </c>
    </row>
    <row r="17" customFormat="false" ht="15" hidden="false" customHeight="true" outlineLevel="0" collapsed="false">
      <c r="A17" s="26" t="s">
        <v>58</v>
      </c>
      <c r="B17" s="28" t="n">
        <v>0.05</v>
      </c>
    </row>
    <row r="18" customFormat="false" ht="15" hidden="false" customHeight="true" outlineLevel="0" collapsed="false">
      <c r="A18" s="23" t="s">
        <v>85</v>
      </c>
      <c r="B18" s="27" t="n">
        <f aca="false">B14+(B8+B10)*B4/1000000</f>
        <v>0.2</v>
      </c>
    </row>
    <row r="19" customFormat="false" ht="15" hidden="false" customHeight="true" outlineLevel="0" collapsed="false">
      <c r="A19" s="26" t="s">
        <v>58</v>
      </c>
      <c r="B19" s="28" t="n">
        <v>0.2</v>
      </c>
    </row>
    <row r="20" customFormat="false" ht="15" hidden="false" customHeight="true" outlineLevel="0" collapsed="false">
      <c r="A20" s="23" t="s">
        <v>86</v>
      </c>
      <c r="B20" s="27" t="n">
        <f aca="false">B14+(B8+B11)*B4/1000000</f>
        <v>0.64</v>
      </c>
    </row>
    <row r="21" customFormat="false" ht="15" hidden="false" customHeight="true" outlineLevel="0" collapsed="false">
      <c r="A21" s="26" t="s">
        <v>58</v>
      </c>
      <c r="B21" s="28" t="n">
        <v>0.64</v>
      </c>
    </row>
    <row r="22" customFormat="false" ht="15" hidden="false" customHeight="true" outlineLevel="0" collapsed="false">
      <c r="A22" s="23" t="s">
        <v>87</v>
      </c>
      <c r="B22" s="29" t="n">
        <f aca="false">B18/B16</f>
        <v>4</v>
      </c>
    </row>
    <row r="23" customFormat="false" ht="15" hidden="false" customHeight="true" outlineLevel="0" collapsed="false">
      <c r="A23" s="23" t="s">
        <v>88</v>
      </c>
      <c r="B23" s="29" t="n">
        <f aca="false">B20/B16</f>
        <v>12.8</v>
      </c>
    </row>
    <row r="24" customFormat="false" ht="15" hidden="false" customHeight="true" outlineLevel="0" collapsed="false">
      <c r="A24" s="23" t="s">
        <v>89</v>
      </c>
      <c r="B24" s="27" t="n">
        <f aca="false">B7*B5/1000000+(B8+B11)*B6/1000000</f>
        <v>0.32</v>
      </c>
    </row>
    <row r="25" customFormat="false" ht="15" hidden="false" customHeight="true" outlineLevel="0" collapsed="false">
      <c r="A25" s="26" t="s">
        <v>58</v>
      </c>
      <c r="B25" s="28" t="n">
        <v>0.32</v>
      </c>
    </row>
    <row r="26" customFormat="false" ht="15" hidden="false" customHeight="true" outlineLevel="0" collapsed="false">
      <c r="A26" s="23" t="s">
        <v>90</v>
      </c>
      <c r="B26" s="29" t="n">
        <f aca="false">B24/B16</f>
        <v>6.4</v>
      </c>
    </row>
    <row r="27" customFormat="false" ht="15" hidden="false" customHeight="true" outlineLevel="0" collapsed="false">
      <c r="A27" s="26" t="s">
        <v>58</v>
      </c>
      <c r="B27" s="26" t="s">
        <v>91</v>
      </c>
    </row>
    <row r="28" customFormat="false" ht="15" hidden="false" customHeight="true" outlineLevel="0" collapsed="false">
      <c r="A28" s="23" t="s">
        <v>92</v>
      </c>
      <c r="B28" s="31" t="n">
        <f aca="false">B12*B4/1000000</f>
        <v>2.56</v>
      </c>
    </row>
    <row r="29" customFormat="false" ht="15" hidden="false" customHeight="true" outlineLevel="0" collapsed="false">
      <c r="A29" s="26" t="s">
        <v>58</v>
      </c>
      <c r="B29" s="28" t="n">
        <v>2.56</v>
      </c>
    </row>
    <row r="30" customFormat="false" ht="15" hidden="false" customHeight="true" outlineLevel="0" collapsed="false">
      <c r="A30" s="23" t="s">
        <v>93</v>
      </c>
      <c r="B30" s="31" t="n">
        <f aca="false">B14+B12*B4/1000000</f>
        <v>2.58</v>
      </c>
    </row>
    <row r="32" customFormat="false" ht="15" hidden="false" customHeight="true" outlineLevel="0" collapsed="false">
      <c r="A32" s="30" t="s">
        <v>94</v>
      </c>
    </row>
    <row r="33" customFormat="false" ht="15" hidden="false" customHeight="true" outlineLevel="0" collapsed="false">
      <c r="A33" s="3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2026-10-26T13:21:10Z</dcterms:created>
  <dc:creator>openpyxl</dc:creator>
  <dc:description/>
  <dc:language>en-US</dc:language>
  <cp:lastModifiedBy/>
  <dcterms:modified xsi:type="dcterms:W3CDTF">2026-10-26T13:21:10Z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