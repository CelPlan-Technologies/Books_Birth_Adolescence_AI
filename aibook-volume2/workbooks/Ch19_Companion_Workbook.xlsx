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foNCE" sheetId="2" state="visible" r:id="rId4"/>
    <sheet name="Domain Adaptation" sheetId="3" state="visible" r:id="rId5"/>
    <sheet name="Metrics" sheetId="4" state="visible" r:id="rId6"/>
    <sheet name="Operations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<sst xmlns="http://schemas.openxmlformats.org/spreadsheetml/2006/main" count="221" uniqueCount="162">
  <si>
    <t xml:space="preserve">Chapter 19 — Embeddings II: Training, Evaluation and Operations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</si>
  <si>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</si>
  <si>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</si>
  <si>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</si>
  <si>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</si>
  <si>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InfoNCE</t>
  </si>
  <si>
    <t xml:space="preserve">Logits, probability of the positive and InfoNCE loss for one query; effect of a hard negative and of the temperature.</t>
  </si>
  <si>
    <t xml:space="preserve">Section 19.1, Worked Example 19.1</t>
  </si>
  <si>
    <t xml:space="preserve">Domain Adaptation</t>
  </si>
  <si>
    <t xml:space="preserve">Synthetic-query generation time and fine-tuning compute for adapting an embedder to a corporate corpus.</t>
  </si>
  <si>
    <t xml:space="preserve">Section 19.3, Worked Example 19.2</t>
  </si>
  <si>
    <t xml:space="preserve">Metrics</t>
  </si>
  <si>
    <t xml:space="preserve">nDCG@5, MRR and recall@k for two queries; standard error of a benchmark of judged queries.</t>
  </si>
  <si>
    <t xml:space="preserve">Section 19.4, Worked Example 19.3</t>
  </si>
  <si>
    <t xml:space="preserve">Operations</t>
  </si>
  <si>
    <t xml:space="preserve">Embedding FLOPs, time, throughput, API cost, vector storage and daily updates for the reference corpus.</t>
  </si>
  <si>
    <t xml:space="preserve">Section 19.6, Worked Example 19.4</t>
  </si>
  <si>
    <t xml:space="preserve">Notes</t>
  </si>
  <si>
    <t xml:space="preserve">Units are decimal (1 GB = 10^9 bytes). Prices in US$ as of October 2026.</t>
  </si>
  <si>
    <t xml:space="preserve">Rows labeled "Value in the book" show the number printed in the worked example, for comparison.</t>
  </si>
  <si>
    <t xml:space="preserve">The reference corpus is that of Worked Example 17.2 (Ch17_Companion_Workbook.xlsx, Chunking sheet).</t>
  </si>
  <si>
    <t xml:space="preserve">The InfoNCE Loss for One Query (Worked Example 19.1)</t>
  </si>
  <si>
    <t xml:space="preserve">Case</t>
  </si>
  <si>
    <t xml:space="preserve">τ = 0.05</t>
  </si>
  <si>
    <t xml:space="preserve">Harder negative</t>
  </si>
  <si>
    <t xml:space="preserve">Without temperature</t>
  </si>
  <si>
    <t xml:space="preserve">Temperature τ</t>
  </si>
  <si>
    <t xml:space="preserve">Cosine with the positive</t>
  </si>
  <si>
    <t xml:space="preserve">Cosine with negative p₄ (connector table)</t>
  </si>
  <si>
    <t xml:space="preserve">Cosine with second negative</t>
  </si>
  <si>
    <t xml:space="preserve">Cosine with third negative</t>
  </si>
  <si>
    <t xml:space="preserve">Result</t>
  </si>
  <si>
    <t xml:space="preserve">Logit, positive (s ÷ τ)</t>
  </si>
  <si>
    <t xml:space="preserve">Value in the book</t>
  </si>
  <si>
    <t xml:space="preserve">Logit, p₄</t>
  </si>
  <si>
    <t xml:space="preserve">Logit, second negative</t>
  </si>
  <si>
    <t xml:space="preserve">Logit, third negative</t>
  </si>
  <si>
    <t xml:space="preserve">Denominator ÷ positive term: 1 + Σ e^(logit − positive logit)</t>
  </si>
  <si>
    <t xml:space="preserve">Probability of the positive</t>
  </si>
  <si>
    <t xml:space="preserve">Loss = −ln(probability)</t>
  </si>
  <si>
    <t xml:space="preserve">Loss ÷ loss at τ = 0.05</t>
  </si>
  <si>
    <t xml:space="preserve">about 16</t>
  </si>
  <si>
    <t xml:space="preserve">Is the positive ranked first?</t>
  </si>
  <si>
    <t xml:space="preserve">Reading: the temperature makes the loss sensitive to ranking, and hard negatives supply the near misses worth learning from.</t>
  </si>
  <si>
    <t xml:space="preserve">The book's "about sixteen times larger" is the unrounded ratio 15.6 (0.513 ÷ 0.0329).</t>
  </si>
  <si>
    <t xml:space="preserve">Adapting an Embedder to a Corporate Corpus (Worked Example 19.2)</t>
  </si>
  <si>
    <t xml:space="preserve">Chunks sampled (of the 670,000 in the index)</t>
  </si>
  <si>
    <t xml:space="preserve">Questions generated per chunk</t>
  </si>
  <si>
    <t xml:space="preserve">Prompt per chunk, instructions plus chunk (tokens)</t>
  </si>
  <si>
    <t xml:space="preserve">Generator parameters, Qwen3-32B (billions)</t>
  </si>
  <si>
    <t xml:space="preserve">Generator effective compute, FP8, RTX PRO 6000 (TFLOP/s)</t>
  </si>
  <si>
    <t xml:space="preserve">Output per question (tokens)</t>
  </si>
  <si>
    <t xml:space="preserve">Generator output rate (tokens/s)</t>
  </si>
  <si>
    <t xml:space="preserve">Pairs kept after filtering</t>
  </si>
  <si>
    <t xml:space="preserve">Epochs</t>
  </si>
  <si>
    <t xml:space="preserve">Query (tokens)</t>
  </si>
  <si>
    <t xml:space="preserve">Positive passage (tokens)</t>
  </si>
  <si>
    <t xml:space="preserve">Hard negative (tokens)</t>
  </si>
  <si>
    <t xml:space="preserve">Training FLOPs per parameter per token (6 + 2 for the cached loss)</t>
  </si>
  <si>
    <t xml:space="preserve">Embedder parameters, Qwen3-Embedding-0.6B (billions)</t>
  </si>
  <si>
    <t xml:space="preserve">Workstation GPU, RTX PRO 4000 class, BF16 (TFLOP/s)</t>
  </si>
  <si>
    <t xml:space="preserve">RTX PRO 6000, BF16 (TFLOP/s)</t>
  </si>
  <si>
    <t xml:space="preserve">Workbook</t>
  </si>
  <si>
    <t xml:space="preserve">Candidate pairs</t>
  </si>
  <si>
    <t xml:space="preserve">Prompt tokens (millions)</t>
  </si>
  <si>
    <t xml:space="preserve">Prompt FLOPs (2 × parameters × tokens)</t>
  </si>
  <si>
    <t xml:space="preserve">Prompt processing time (minutes)</t>
  </si>
  <si>
    <t xml:space="preserve">Output tokens (millions)</t>
  </si>
  <si>
    <t xml:space="preserve">Output time (minutes)</t>
  </si>
  <si>
    <t xml:space="preserve">Generation, total (hours)</t>
  </si>
  <si>
    <t xml:space="preserve">Share of candidates kept</t>
  </si>
  <si>
    <t xml:space="preserve">Tokens per training example</t>
  </si>
  <si>
    <t xml:space="preserve">Training tokens</t>
  </si>
  <si>
    <t xml:space="preserve">Training FLOPs</t>
  </si>
  <si>
    <t xml:space="preserve">Training time, workstation GPU (hours)</t>
  </si>
  <si>
    <t xml:space="preserve">Training time, RTX PRO 6000 (hours; book: under 1.5)</t>
  </si>
  <si>
    <t xml:space="preserve">Reading: a domain-adapted small model costs an afternoon of GPU time; whether it beats a larger general model is answered by the in-house benchmark (Section 19.4), never by the synthetic questions used for training.</t>
  </si>
  <si>
    <t xml:space="preserve">Filtering keeps a question only if its source chunk is in the top 20; one hard negative per question is mined from ranks 30–100. Thinking mode is off for generation.</t>
  </si>
  <si>
    <t xml:space="preserve">Scoring Two Queries (Worked Example 19.3)</t>
  </si>
  <si>
    <t xml:space="preserve">Rank i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</si>
  <si>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</si>
  <si>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</si>
  <si>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</si>
  <si>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</si>
  <si>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</si>
  <si>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Query A, relevance grade (2 answers, 1 partially, 0 not)</t>
  </si>
  <si>
    <t xml:space="preserve">Query B, relevance grade</t>
  </si>
  <si>
    <t xml:space="preserve">Relevance judgments</t>
  </si>
  <si>
    <t xml:space="preserve">Query A, grades of all relevant passages, returned or not</t>
  </si>
  <si>
    <t xml:space="preserve">Query B, grades of all relevant passages, returned or not</t>
  </si>
  <si>
    <t xml:space="preserve">Query A, relevant passages in the collection</t>
  </si>
  <si>
    <t xml:space="preserve">Query B, relevant passages in the collection</t>
  </si>
  <si>
    <t xml:space="preserve">Standard deviation of per-query nDCG</t>
  </si>
  <si>
    <t xml:space="preserve">Judged queries in the benchmark</t>
  </si>
  <si>
    <t xml:space="preserve">Correlation of two models' per-query scores</t>
  </si>
  <si>
    <t xml:space="preserve">Standard errors treated as noise</t>
  </si>
  <si>
    <t xml:space="preserve">Working, by rank</t>
  </si>
  <si>
    <t xml:space="preserve">Discount log₂(i + 1)</t>
  </si>
  <si>
    <t xml:space="preserve">Query A, (2^grade − 1) ÷ discount</t>
  </si>
  <si>
    <t xml:space="preserve">Query A, ideal order of the judged grades</t>
  </si>
  <si>
    <t xml:space="preserve">Query A, ideal (2^grade − 1) ÷ discount</t>
  </si>
  <si>
    <t xml:space="preserve">Query A, grade ÷ discount (linear gain)</t>
  </si>
  <si>
    <t xml:space="preserve">Query A, ideal grade ÷ discount (linear gain)</t>
  </si>
  <si>
    <t xml:space="preserve">Query A, relevant? (1 = yes)</t>
  </si>
  <si>
    <t xml:space="preserve">Query B, (2^grade − 1) ÷ discount</t>
  </si>
  <si>
    <t xml:space="preserve">Query B, ideal order of the judged grades</t>
  </si>
  <si>
    <t xml:space="preserve">Query B, ideal (2^grade − 1) ÷ discount</t>
  </si>
  <si>
    <t xml:space="preserve">Query B, relevant? (1 = yes)</t>
  </si>
  <si>
    <t xml:space="preserve">Query A</t>
  </si>
  <si>
    <t xml:space="preserve">Query B</t>
  </si>
  <si>
    <t xml:space="preserve">DCG@5</t>
  </si>
  <si>
    <t xml:space="preserve">Ideal DCG@5</t>
  </si>
  <si>
    <t xml:space="preserve">nDCG@5</t>
  </si>
  <si>
    <t xml:space="preserve">nDCG@5 with linear gain (Järvelin and Kekäläinen)</t>
  </si>
  <si>
    <t xml:space="preserve">Reciprocal rank of the first relevant result</t>
  </si>
  <si>
    <t xml:space="preserve">Recall@3</t>
  </si>
  <si>
    <t xml:space="preserve">Recall@5</t>
  </si>
  <si>
    <t xml:space="preserve">Check: judgments consistent with the returned grades and counts</t>
  </si>
  <si>
    <t xml:space="preserve">Averages and noise</t>
  </si>
  <si>
    <t xml:space="preserve">Mean nDCG@5</t>
  </si>
  <si>
    <t xml:space="preserve">MRR</t>
  </si>
  <si>
    <t xml:space="preserve">Standard error of the mean nDCG</t>
  </si>
  <si>
    <t xml:space="preserve">Standard error of a paired difference</t>
  </si>
  <si>
    <t xml:space="preserve">Differences within noise (below)</t>
  </si>
  <si>
    <t xml:space="preserve">Reading: query B's answer was found but ranked low — recall@k at a generous k matters for RAG, and a reranker can fix the order. A few hundred judged queries separate models that differ by a few points.</t>
  </si>
  <si>
    <t xml:space="preserve">Gain = 2^grade − 1 (Burges et al., 2005); the linear-gain row uses the grade itself. The ideal order sorts the judged grades of all the query's relevant passages, returned or not, so a relevant passage missing from the top 5 lowers nDCG; for the book's two queries they equal the returned grades. MRR counts any grade above 0 as relevant.</t>
  </si>
  <si>
    <t xml:space="preserve">The Cost of Embedding the Reference Corpus (Worked Example 19.4)</t>
  </si>
  <si>
    <t xml:space="preserve">Tokens embedded, including overlap (millions; Worked Example 17.2)</t>
  </si>
  <si>
    <t xml:space="preserve">Chunks</t>
  </si>
  <si>
    <t xml:space="preserve">Tokens per chunk</t>
  </si>
  <si>
    <t xml:space="preserve">Small model, Qwen3-Embedding-0.6B (billions of parameters)</t>
  </si>
  <si>
    <t xml:space="preserve">Small encoder (billions of parameters)</t>
  </si>
  <si>
    <t xml:space="preserve">Model on a laptop CPU (billions of parameters)</t>
  </si>
  <si>
    <t xml:space="preserve">Laptop CPU, effective (TFLOP/s)</t>
  </si>
  <si>
    <t xml:space="preserve">Large model (billions of parameters)</t>
  </si>
  <si>
    <t xml:space="preserve">Data-center GPU, H100 class, BF16 (TFLOP/s)</t>
  </si>
  <si>
    <t xml:space="preserve">Rack GPU, RTX PRO 6000, BF16 (TFLOP/s; Worked Example 19.2)</t>
  </si>
  <si>
    <t xml:space="preserve">API price, low (US$ per million tokens)</t>
  </si>
  <si>
    <t xml:space="preserve">API price, high (US$ per million tokens)</t>
  </si>
  <si>
    <t xml:space="preserve">Dimensions, small model</t>
  </si>
  <si>
    <t xml:space="preserve">Dimensions, 8B model</t>
  </si>
  <si>
    <t xml:space="preserve">Dimensions after MRL truncation</t>
  </si>
  <si>
    <t xml:space="preserve">Bytes per dimension (FP32)</t>
  </si>
  <si>
    <t xml:space="preserve">Chunks changed per day</t>
  </si>
  <si>
    <t xml:space="preserve">Small model, FLOPs (2 × parameters × tokens)</t>
  </si>
  <si>
    <t xml:space="preserve">Small model, workstation GPU (hours)</t>
  </si>
  <si>
    <t xml:space="preserve">Small model, throughput (chunks/s)</t>
  </si>
  <si>
    <t xml:space="preserve">Small encoder, same GPU (chunks/s)</t>
  </si>
  <si>
    <t xml:space="preserve">Laptop CPU model (chunks/s)</t>
  </si>
  <si>
    <t xml:space="preserve">Large model, FLOPs</t>
  </si>
  <si>
    <t xml:space="preserve">Large model, workstation GPU (hours)</t>
  </si>
  <si>
    <t xml:space="preserve">Large model, H100-class GPU (hours)</t>
  </si>
  <si>
    <t xml:space="preserve">Commercial API, low price (US$)</t>
  </si>
  <si>
    <t xml:space="preserve">Commercial API, high price (US$)</t>
  </si>
  <si>
    <t xml:space="preserve">Vectors, small model (GB)</t>
  </si>
  <si>
    <t xml:space="preserve">Vectors, 8B model, full (GB)</t>
  </si>
  <si>
    <t xml:space="preserve">Vectors, 8B model, MRL-truncated (GB)</t>
  </si>
  <si>
    <t xml:space="preserve">Daily update (millions of tokens)</t>
  </si>
  <si>
    <t xml:space="preserve">Daily update, small model on the workstation GPU (s)</t>
  </si>
  <si>
    <t xml:space="preserve">Full rebuild, small model on the Rack GPU (minutes; book: under an hour)</t>
  </si>
  <si>
    <t xml:space="preserve">Reading: money is rarely the constraint on embedding; time, hardware tier and data residency are. Every passage sent to a commercial API leaves the premises.</t>
  </si>
  <si>
    <t xml:space="preserve">2 FLOPs per parameter per token errs on the safe side: the true cost is about 20% lower for Qwen3-Embedding-0.6B and 10% lower for Qwen3-Embedding-8B (Section 19.6).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</si>
</sst>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00"/>
    <numFmt numFmtId="167" formatCode="0.000"/>
    <numFmt numFmtId="168" formatCode="0.0"/>
    <numFmt numFmtId="169" formatCode="#,##0"/>
    <numFmt numFmtId="170" formatCode="0"/>
    <numFmt numFmtId="171" formatCode="0.0E+00"/>
    <numFmt numFmtId="172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0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30" hidden="false" customHeight="true" outlineLevel="0" collapsed="false">
      <c r="A8" s="4" t="s">
        <v>14</v>
      </c>
      <c r="B8" s="5" t="s">
        <v>15</v>
      </c>
      <c r="C8" s="5" t="s">
        <v>16</v>
      </c>
    </row>
    <row r="10" customFormat="false" ht="15" hidden="false" customHeight="false" outlineLevel="0" collapsed="false">
      <c r="A10" s="4" t="s">
        <v>17</v>
      </c>
    </row>
    <row r="11" customFormat="false" ht="15" hidden="false" customHeight="true" outlineLevel="0" collapsed="false">
      <c r="A11" s="6" t="s">
        <v>18</v>
      </c>
      <c r="B11" s="6"/>
      <c r="C11" s="6"/>
    </row>
    <row r="12" customFormat="false" ht="15" hidden="false" customHeight="true" outlineLevel="0" collapsed="false">
      <c r="A12" s="6" t="s">
        <v>19</v>
      </c>
      <c r="B12" s="6"/>
      <c r="C12" s="6"/>
    </row>
    <row r="13" customFormat="false" ht="15" hidden="false" customHeight="true" outlineLevel="0" collapsed="false">
      <c r="A13" s="6" t="s">
        <v>20</v>
      </c>
      <c r="B13" s="6"/>
      <c r="C13" s="6"/>
    </row>
  </sheetData>
  <mergeCells count="4">
    <mergeCell ref="A2:C2"/>
    <mergeCell ref="A11:C11"/>
    <mergeCell ref="A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5.75" hidden="false" customHeight="true" outlineLevel="0" collapsed="false">
      <c r="A1" s="7" t="s">
        <v>21</v>
      </c>
    </row>
    <row r="3" customFormat="false" ht="30" hidden="false" customHeight="true" outlineLevel="0" collapsed="false">
      <c r="A3" s="8" t="s">
        <v>22</v>
      </c>
      <c r="B3" s="8" t="s">
        <v>23</v>
      </c>
      <c r="C3" s="8" t="s">
        <v>24</v>
      </c>
      <c r="D3" s="8" t="s">
        <v>25</v>
      </c>
    </row>
    <row r="4" customFormat="false" ht="15" hidden="false" customHeight="true" outlineLevel="0" collapsed="false">
      <c r="A4" s="9" t="s">
        <v>26</v>
      </c>
      <c r="B4" s="10" t="n">
        <v>0.05</v>
      </c>
      <c r="C4" s="10" t="n">
        <v>0.05</v>
      </c>
      <c r="D4" s="10" t="n">
        <v>1</v>
      </c>
    </row>
    <row r="5" customFormat="false" ht="15" hidden="false" customHeight="true" outlineLevel="0" collapsed="false">
      <c r="A5" s="9" t="s">
        <v>27</v>
      </c>
      <c r="B5" s="10" t="n">
        <v>0.82</v>
      </c>
      <c r="C5" s="10" t="n">
        <v>0.82</v>
      </c>
      <c r="D5" s="10" t="n">
        <v>0.82</v>
      </c>
    </row>
    <row r="6" customFormat="false" ht="15" hidden="false" customHeight="true" outlineLevel="0" collapsed="false">
      <c r="A6" s="9" t="s">
        <v>28</v>
      </c>
      <c r="B6" s="10" t="n">
        <v>0.65</v>
      </c>
      <c r="C6" s="10" t="n">
        <v>0.8</v>
      </c>
      <c r="D6" s="10" t="n">
        <v>0.65</v>
      </c>
    </row>
    <row r="7" customFormat="false" ht="15" hidden="false" customHeight="true" outlineLevel="0" collapsed="false">
      <c r="A7" s="9" t="s">
        <v>29</v>
      </c>
      <c r="B7" s="10" t="n">
        <v>0.31</v>
      </c>
      <c r="C7" s="10" t="n">
        <v>0.31</v>
      </c>
      <c r="D7" s="10" t="n">
        <v>0.31</v>
      </c>
    </row>
    <row r="8" customFormat="false" ht="15" hidden="false" customHeight="true" outlineLevel="0" collapsed="false">
      <c r="A8" s="9" t="s">
        <v>30</v>
      </c>
      <c r="B8" s="10" t="n">
        <v>0.05</v>
      </c>
      <c r="C8" s="10" t="n">
        <v>0.05</v>
      </c>
      <c r="D8" s="10" t="n">
        <v>0.05</v>
      </c>
    </row>
    <row r="10" customFormat="false" ht="30" hidden="false" customHeight="true" outlineLevel="0" collapsed="false">
      <c r="A10" s="8" t="s">
        <v>31</v>
      </c>
      <c r="B10" s="8" t="s">
        <v>23</v>
      </c>
      <c r="C10" s="8" t="s">
        <v>24</v>
      </c>
      <c r="D10" s="8" t="s">
        <v>25</v>
      </c>
    </row>
    <row r="11" customFormat="false" ht="15" hidden="false" customHeight="true" outlineLevel="0" collapsed="false">
      <c r="A11" s="11" t="s">
        <v>32</v>
      </c>
      <c r="B11" s="12" t="n">
        <f aca="false">B5/B4</f>
        <v>16.4</v>
      </c>
      <c r="C11" s="12" t="n">
        <f aca="false">C5/C4</f>
        <v>16.4</v>
      </c>
      <c r="D11" s="12" t="n">
        <f aca="false">D5/D4</f>
        <v>0.82</v>
      </c>
    </row>
    <row r="12" customFormat="false" ht="15" hidden="false" customHeight="true" outlineLevel="0" collapsed="false">
      <c r="A12" s="13" t="s">
        <v>33</v>
      </c>
      <c r="B12" s="14" t="n">
        <v>16.4</v>
      </c>
      <c r="C12" s="14" t="n">
        <v>16.4</v>
      </c>
      <c r="D12" s="14"/>
    </row>
    <row r="13" customFormat="false" ht="15" hidden="false" customHeight="true" outlineLevel="0" collapsed="false">
      <c r="A13" s="11" t="s">
        <v>34</v>
      </c>
      <c r="B13" s="12" t="n">
        <f aca="false">B6/B4</f>
        <v>13</v>
      </c>
      <c r="C13" s="12" t="n">
        <f aca="false">C6/C4</f>
        <v>16</v>
      </c>
      <c r="D13" s="12" t="n">
        <f aca="false">D6/D4</f>
        <v>0.65</v>
      </c>
    </row>
    <row r="14" customFormat="false" ht="15" hidden="false" customHeight="true" outlineLevel="0" collapsed="false">
      <c r="A14" s="13" t="s">
        <v>33</v>
      </c>
      <c r="B14" s="14" t="n">
        <v>13</v>
      </c>
      <c r="C14" s="14" t="n">
        <v>16</v>
      </c>
      <c r="D14" s="14"/>
    </row>
    <row r="15" customFormat="false" ht="15" hidden="false" customHeight="true" outlineLevel="0" collapsed="false">
      <c r="A15" s="11" t="s">
        <v>35</v>
      </c>
      <c r="B15" s="12" t="n">
        <f aca="false">B7/B4</f>
        <v>6.2</v>
      </c>
      <c r="C15" s="12" t="n">
        <f aca="false">C7/C4</f>
        <v>6.2</v>
      </c>
      <c r="D15" s="12" t="n">
        <f aca="false">D7/D4</f>
        <v>0.31</v>
      </c>
    </row>
    <row r="16" customFormat="false" ht="15" hidden="false" customHeight="true" outlineLevel="0" collapsed="false">
      <c r="A16" s="13" t="s">
        <v>33</v>
      </c>
      <c r="B16" s="14" t="n">
        <v>6.2</v>
      </c>
      <c r="C16" s="14"/>
      <c r="D16" s="14"/>
    </row>
    <row r="17" customFormat="false" ht="15" hidden="false" customHeight="true" outlineLevel="0" collapsed="false">
      <c r="A17" s="11" t="s">
        <v>36</v>
      </c>
      <c r="B17" s="12" t="n">
        <f aca="false">B8/B4</f>
        <v>1</v>
      </c>
      <c r="C17" s="12" t="n">
        <f aca="false">C8/C4</f>
        <v>1</v>
      </c>
      <c r="D17" s="12" t="n">
        <f aca="false">D8/D4</f>
        <v>0.05</v>
      </c>
    </row>
    <row r="18" customFormat="false" ht="15" hidden="false" customHeight="true" outlineLevel="0" collapsed="false">
      <c r="A18" s="13" t="s">
        <v>33</v>
      </c>
      <c r="B18" s="14" t="n">
        <v>1</v>
      </c>
      <c r="C18" s="14"/>
      <c r="D18" s="14"/>
    </row>
    <row r="19" customFormat="false" ht="15" hidden="false" customHeight="true" outlineLevel="0" collapsed="false">
      <c r="A19" s="11" t="s">
        <v>37</v>
      </c>
      <c r="B19" s="15" t="n">
        <f aca="false">1+EXP(B13-B11)+EXP(B15-B11)+EXP(B17-B11)</f>
        <v>1.03341064533147</v>
      </c>
      <c r="C19" s="15" t="n">
        <f aca="false">1+EXP(C13-C11)+EXP(C15-C11)+EXP(C17-C11)</f>
        <v>1.67035742140678</v>
      </c>
      <c r="D19" s="15" t="n">
        <f aca="false">1+EXP(D13-D11)+EXP(D15-D11)+EXP(D17-D11)</f>
        <v>2.90717346371988</v>
      </c>
    </row>
    <row r="20" customFormat="false" ht="15" hidden="false" customHeight="true" outlineLevel="0" collapsed="false">
      <c r="A20" s="13" t="s">
        <v>33</v>
      </c>
      <c r="B20" s="16" t="n">
        <v>1.0334</v>
      </c>
      <c r="C20" s="16"/>
      <c r="D20" s="16"/>
    </row>
    <row r="21" customFormat="false" ht="15" hidden="false" customHeight="true" outlineLevel="0" collapsed="false">
      <c r="A21" s="11" t="s">
        <v>38</v>
      </c>
      <c r="B21" s="17" t="n">
        <f aca="false">1/B19</f>
        <v>0.967669536323819</v>
      </c>
      <c r="C21" s="17" t="n">
        <f aca="false">1/C19</f>
        <v>0.598674264073252</v>
      </c>
      <c r="D21" s="17" t="n">
        <f aca="false">1/D19</f>
        <v>0.343976722572463</v>
      </c>
    </row>
    <row r="22" customFormat="false" ht="15" hidden="false" customHeight="true" outlineLevel="0" collapsed="false">
      <c r="A22" s="13" t="s">
        <v>33</v>
      </c>
      <c r="B22" s="18" t="n">
        <v>0.968</v>
      </c>
      <c r="C22" s="18" t="n">
        <v>0.6</v>
      </c>
      <c r="D22" s="18" t="n">
        <v>0.34</v>
      </c>
    </row>
    <row r="23" customFormat="false" ht="15" hidden="false" customHeight="true" outlineLevel="0" collapsed="false">
      <c r="A23" s="11" t="s">
        <v>39</v>
      </c>
      <c r="B23" s="17" t="n">
        <f aca="false">-LN(B21)</f>
        <v>0.03286463808697</v>
      </c>
      <c r="C23" s="17" t="n">
        <f aca="false">-LN(C21)</f>
        <v>0.513037628323105</v>
      </c>
      <c r="D23" s="17" t="n">
        <f aca="false">-LN(D21)</f>
        <v>1.06718129083876</v>
      </c>
    </row>
    <row r="24" customFormat="false" ht="15" hidden="false" customHeight="true" outlineLevel="0" collapsed="false">
      <c r="A24" s="13" t="s">
        <v>33</v>
      </c>
      <c r="B24" s="18" t="n">
        <v>0.033</v>
      </c>
      <c r="C24" s="18" t="n">
        <v>0.51</v>
      </c>
      <c r="D24" s="18" t="n">
        <v>1.07</v>
      </c>
    </row>
    <row r="25" customFormat="false" ht="15" hidden="false" customHeight="true" outlineLevel="0" collapsed="false">
      <c r="A25" s="11" t="s">
        <v>40</v>
      </c>
      <c r="B25" s="19" t="n">
        <f aca="false">B23/B23</f>
        <v>1</v>
      </c>
      <c r="C25" s="19" t="n">
        <f aca="false">C23/B23</f>
        <v>15.6106276589887</v>
      </c>
      <c r="D25" s="19" t="n">
        <f aca="false">D23/B23</f>
        <v>32.4720232127514</v>
      </c>
    </row>
    <row r="26" customFormat="false" ht="15" hidden="false" customHeight="true" outlineLevel="0" collapsed="false">
      <c r="A26" s="13" t="s">
        <v>33</v>
      </c>
      <c r="B26" s="20"/>
      <c r="C26" s="20" t="s">
        <v>41</v>
      </c>
      <c r="D26" s="20"/>
    </row>
    <row r="27" customFormat="false" ht="15" hidden="false" customHeight="true" outlineLevel="0" collapsed="false">
      <c r="A27" s="11" t="s">
        <v>42</v>
      </c>
      <c r="B27" s="11" t="str">
        <f aca="false">IF(B5&gt;MAX(B6,B7,B8),"yes","no")</f>
        <v>yes</v>
      </c>
      <c r="C27" s="11" t="str">
        <f aca="false">IF(C5&gt;MAX(C6,C7,C8),"yes","no")</f>
        <v>yes</v>
      </c>
      <c r="D27" s="11" t="str">
        <f aca="false">IF(D5&gt;MAX(D6,D7,D8),"yes","no")</f>
        <v>yes</v>
      </c>
    </row>
    <row r="29" customFormat="false" ht="15" hidden="false" customHeight="true" outlineLevel="0" collapsed="false">
      <c r="A29" s="21" t="s">
        <v>43</v>
      </c>
    </row>
    <row r="30" customFormat="false" ht="15" hidden="false" customHeight="true" outlineLevel="0" collapsed="false">
      <c r="A30" s="2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45</v>
      </c>
    </row>
    <row r="3" customFormat="false" ht="15" hidden="false" customHeight="true" outlineLevel="0" collapsed="false">
      <c r="A3" s="9" t="s">
        <v>46</v>
      </c>
      <c r="B3" s="22" t="n">
        <v>30000</v>
      </c>
    </row>
    <row r="4" customFormat="false" ht="15" hidden="false" customHeight="true" outlineLevel="0" collapsed="false">
      <c r="A4" s="9" t="s">
        <v>47</v>
      </c>
      <c r="B4" s="23" t="n">
        <v>2</v>
      </c>
    </row>
    <row r="5" customFormat="false" ht="15" hidden="false" customHeight="true" outlineLevel="0" collapsed="false">
      <c r="A5" s="9" t="s">
        <v>48</v>
      </c>
      <c r="B5" s="22" t="n">
        <v>600</v>
      </c>
    </row>
    <row r="6" customFormat="false" ht="15" hidden="false" customHeight="true" outlineLevel="0" collapsed="false">
      <c r="A6" s="9" t="s">
        <v>49</v>
      </c>
      <c r="B6" s="24" t="n">
        <v>32.8</v>
      </c>
    </row>
    <row r="7" customFormat="false" ht="15" hidden="false" customHeight="true" outlineLevel="0" collapsed="false">
      <c r="A7" s="9" t="s">
        <v>50</v>
      </c>
      <c r="B7" s="22" t="n">
        <v>400</v>
      </c>
    </row>
    <row r="8" customFormat="false" ht="15" hidden="false" customHeight="true" outlineLevel="0" collapsed="false">
      <c r="A8" s="9" t="s">
        <v>51</v>
      </c>
      <c r="B8" s="22" t="n">
        <v>60</v>
      </c>
    </row>
    <row r="9" customFormat="false" ht="15" hidden="false" customHeight="true" outlineLevel="0" collapsed="false">
      <c r="A9" s="9" t="s">
        <v>52</v>
      </c>
      <c r="B9" s="22" t="n">
        <v>1500</v>
      </c>
    </row>
    <row r="10" customFormat="false" ht="15" hidden="false" customHeight="true" outlineLevel="0" collapsed="false">
      <c r="A10" s="9" t="s">
        <v>53</v>
      </c>
      <c r="B10" s="22" t="n">
        <v>50000</v>
      </c>
    </row>
    <row r="11" customFormat="false" ht="15" hidden="false" customHeight="true" outlineLevel="0" collapsed="false">
      <c r="A11" s="9" t="s">
        <v>54</v>
      </c>
      <c r="B11" s="23" t="n">
        <v>3</v>
      </c>
    </row>
    <row r="12" customFormat="false" ht="15" hidden="false" customHeight="true" outlineLevel="0" collapsed="false">
      <c r="A12" s="9" t="s">
        <v>55</v>
      </c>
      <c r="B12" s="22" t="n">
        <v>30</v>
      </c>
    </row>
    <row r="13" customFormat="false" ht="15" hidden="false" customHeight="true" outlineLevel="0" collapsed="false">
      <c r="A13" s="9" t="s">
        <v>56</v>
      </c>
      <c r="B13" s="22" t="n">
        <v>512</v>
      </c>
    </row>
    <row r="14" customFormat="false" ht="15" hidden="false" customHeight="true" outlineLevel="0" collapsed="false">
      <c r="A14" s="9" t="s">
        <v>57</v>
      </c>
      <c r="B14" s="22" t="n">
        <v>512</v>
      </c>
    </row>
    <row r="15" customFormat="false" ht="15" hidden="false" customHeight="true" outlineLevel="0" collapsed="false">
      <c r="A15" s="9" t="s">
        <v>58</v>
      </c>
      <c r="B15" s="23" t="n">
        <v>8</v>
      </c>
    </row>
    <row r="16" customFormat="false" ht="15" hidden="false" customHeight="true" outlineLevel="0" collapsed="false">
      <c r="A16" s="9" t="s">
        <v>59</v>
      </c>
      <c r="B16" s="24" t="n">
        <v>0.6</v>
      </c>
    </row>
    <row r="17" customFormat="false" ht="15" hidden="false" customHeight="true" outlineLevel="0" collapsed="false">
      <c r="A17" s="9" t="s">
        <v>60</v>
      </c>
      <c r="B17" s="22" t="n">
        <v>50</v>
      </c>
    </row>
    <row r="18" customFormat="false" ht="15" hidden="false" customHeight="true" outlineLevel="0" collapsed="false">
      <c r="A18" s="9" t="s">
        <v>61</v>
      </c>
      <c r="B18" s="22" t="n">
        <v>150</v>
      </c>
    </row>
    <row r="20" customFormat="false" ht="15" hidden="false" customHeight="true" outlineLevel="0" collapsed="false">
      <c r="A20" s="8" t="s">
        <v>31</v>
      </c>
      <c r="B20" s="8" t="s">
        <v>62</v>
      </c>
    </row>
    <row r="21" customFormat="false" ht="15" hidden="false" customHeight="true" outlineLevel="0" collapsed="false">
      <c r="A21" s="11" t="s">
        <v>63</v>
      </c>
      <c r="B21" s="25" t="n">
        <f aca="false">B3*B4</f>
        <v>60000</v>
      </c>
    </row>
    <row r="22" customFormat="false" ht="15" hidden="false" customHeight="true" outlineLevel="0" collapsed="false">
      <c r="A22" s="13" t="s">
        <v>33</v>
      </c>
      <c r="B22" s="26" t="n">
        <v>60000</v>
      </c>
    </row>
    <row r="23" customFormat="false" ht="15" hidden="false" customHeight="true" outlineLevel="0" collapsed="false">
      <c r="A23" s="11" t="s">
        <v>64</v>
      </c>
      <c r="B23" s="19" t="n">
        <f aca="false">B3*B5/1000000</f>
        <v>18</v>
      </c>
    </row>
    <row r="24" customFormat="false" ht="15" hidden="false" customHeight="true" outlineLevel="0" collapsed="false">
      <c r="A24" s="13" t="s">
        <v>33</v>
      </c>
      <c r="B24" s="20" t="n">
        <v>18</v>
      </c>
    </row>
    <row r="25" customFormat="false" ht="15" hidden="false" customHeight="true" outlineLevel="0" collapsed="false">
      <c r="A25" s="11" t="s">
        <v>65</v>
      </c>
      <c r="B25" s="27" t="n">
        <f aca="false">B23*1000000*2*B6*1000000000</f>
        <v>1.1808E+018</v>
      </c>
    </row>
    <row r="26" customFormat="false" ht="15" hidden="false" customHeight="true" outlineLevel="0" collapsed="false">
      <c r="A26" s="13" t="s">
        <v>33</v>
      </c>
      <c r="B26" s="28" t="n">
        <v>1.2E+018</v>
      </c>
    </row>
    <row r="27" customFormat="false" ht="15" hidden="false" customHeight="true" outlineLevel="0" collapsed="false">
      <c r="A27" s="11" t="s">
        <v>66</v>
      </c>
      <c r="B27" s="29" t="n">
        <f aca="false">B25/(B7*1000000000000)/60</f>
        <v>49.2</v>
      </c>
    </row>
    <row r="28" customFormat="false" ht="15" hidden="false" customHeight="true" outlineLevel="0" collapsed="false">
      <c r="A28" s="13" t="s">
        <v>33</v>
      </c>
      <c r="B28" s="30" t="n">
        <v>50</v>
      </c>
    </row>
    <row r="29" customFormat="false" ht="15" hidden="false" customHeight="true" outlineLevel="0" collapsed="false">
      <c r="A29" s="11" t="s">
        <v>67</v>
      </c>
      <c r="B29" s="19" t="n">
        <f aca="false">B21*B8/1000000</f>
        <v>3.6</v>
      </c>
    </row>
    <row r="30" customFormat="false" ht="15" hidden="false" customHeight="true" outlineLevel="0" collapsed="false">
      <c r="A30" s="13" t="s">
        <v>33</v>
      </c>
      <c r="B30" s="20" t="n">
        <v>3.6</v>
      </c>
    </row>
    <row r="31" customFormat="false" ht="15" hidden="false" customHeight="true" outlineLevel="0" collapsed="false">
      <c r="A31" s="11" t="s">
        <v>68</v>
      </c>
      <c r="B31" s="29" t="n">
        <f aca="false">B29*1000000/B9/60</f>
        <v>40</v>
      </c>
    </row>
    <row r="32" customFormat="false" ht="15" hidden="false" customHeight="true" outlineLevel="0" collapsed="false">
      <c r="A32" s="13" t="s">
        <v>33</v>
      </c>
      <c r="B32" s="30" t="n">
        <v>40</v>
      </c>
    </row>
    <row r="33" customFormat="false" ht="15" hidden="false" customHeight="true" outlineLevel="0" collapsed="false">
      <c r="A33" s="11" t="s">
        <v>69</v>
      </c>
      <c r="B33" s="19" t="n">
        <f aca="false">(B27+B31)/60</f>
        <v>1.48666666666667</v>
      </c>
    </row>
    <row r="34" customFormat="false" ht="15" hidden="false" customHeight="true" outlineLevel="0" collapsed="false">
      <c r="A34" s="13" t="s">
        <v>33</v>
      </c>
      <c r="B34" s="20" t="n">
        <v>1.5</v>
      </c>
    </row>
    <row r="35" customFormat="false" ht="15" hidden="false" customHeight="true" outlineLevel="0" collapsed="false">
      <c r="A35" s="11" t="s">
        <v>70</v>
      </c>
      <c r="B35" s="31" t="n">
        <f aca="false">B10/B21</f>
        <v>0.833333333333333</v>
      </c>
    </row>
    <row r="36" customFormat="false" ht="15" hidden="false" customHeight="true" outlineLevel="0" collapsed="false">
      <c r="A36" s="11" t="s">
        <v>71</v>
      </c>
      <c r="B36" s="25" t="n">
        <f aca="false">B12+B13+B14</f>
        <v>1054</v>
      </c>
    </row>
    <row r="37" customFormat="false" ht="15" hidden="false" customHeight="true" outlineLevel="0" collapsed="false">
      <c r="A37" s="13" t="s">
        <v>33</v>
      </c>
      <c r="B37" s="26" t="n">
        <v>1050</v>
      </c>
    </row>
    <row r="38" customFormat="false" ht="15" hidden="false" customHeight="true" outlineLevel="0" collapsed="false">
      <c r="A38" s="11" t="s">
        <v>72</v>
      </c>
      <c r="B38" s="27" t="n">
        <f aca="false">B10*B11*B36</f>
        <v>158100000</v>
      </c>
    </row>
    <row r="39" customFormat="false" ht="15" hidden="false" customHeight="true" outlineLevel="0" collapsed="false">
      <c r="A39" s="13" t="s">
        <v>33</v>
      </c>
      <c r="B39" s="28" t="n">
        <v>160000000</v>
      </c>
    </row>
    <row r="40" customFormat="false" ht="15" hidden="false" customHeight="true" outlineLevel="0" collapsed="false">
      <c r="A40" s="11" t="s">
        <v>73</v>
      </c>
      <c r="B40" s="27" t="n">
        <f aca="false">B15*B16*1000000000*B38</f>
        <v>7.5888E+017</v>
      </c>
    </row>
    <row r="41" customFormat="false" ht="15" hidden="false" customHeight="true" outlineLevel="0" collapsed="false">
      <c r="A41" s="13" t="s">
        <v>33</v>
      </c>
      <c r="B41" s="28" t="n">
        <v>7.6E+017</v>
      </c>
    </row>
    <row r="42" customFormat="false" ht="15" hidden="false" customHeight="true" outlineLevel="0" collapsed="false">
      <c r="A42" s="11" t="s">
        <v>74</v>
      </c>
      <c r="B42" s="19" t="n">
        <f aca="false">B40/(B17*1000000000000)/3600</f>
        <v>4.216</v>
      </c>
    </row>
    <row r="43" customFormat="false" ht="15" hidden="false" customHeight="true" outlineLevel="0" collapsed="false">
      <c r="A43" s="13" t="s">
        <v>33</v>
      </c>
      <c r="B43" s="20" t="n">
        <v>4</v>
      </c>
    </row>
    <row r="44" customFormat="false" ht="15" hidden="false" customHeight="true" outlineLevel="0" collapsed="false">
      <c r="A44" s="11" t="s">
        <v>75</v>
      </c>
      <c r="B44" s="19" t="n">
        <f aca="false">B40/(B18*1000000000000)/3600</f>
        <v>1.40533333333333</v>
      </c>
    </row>
    <row r="46" customFormat="false" ht="15" hidden="false" customHeight="true" outlineLevel="0" collapsed="false">
      <c r="A46" s="21" t="s">
        <v>76</v>
      </c>
    </row>
    <row r="47" customFormat="false" ht="15" hidden="false" customHeight="true" outlineLevel="0" collapsed="false">
      <c r="A47" s="21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</cols>
  <sheetData>
    <row r="1" customFormat="false" ht="15.75" hidden="false" customHeight="true" outlineLevel="0" collapsed="false">
      <c r="A1" s="7" t="s">
        <v>78</v>
      </c>
    </row>
    <row r="3" customFormat="false" ht="15" hidden="false" customHeight="true" outlineLevel="0" collapsed="false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</row>
    <row r="4" customFormat="false" ht="15" hidden="false" customHeight="true" outlineLevel="0" collapsed="false">
      <c r="A4" s="9" t="s">
        <v>85</v>
      </c>
      <c r="B4" s="23" t="n">
        <v>2</v>
      </c>
      <c r="C4" s="23" t="n">
        <v>0</v>
      </c>
      <c r="D4" s="23" t="n">
        <v>1</v>
      </c>
      <c r="E4" s="23" t="n">
        <v>0</v>
      </c>
      <c r="F4" s="23" t="n">
        <v>0</v>
      </c>
    </row>
    <row r="5" customFormat="false" ht="15" hidden="false" customHeight="true" outlineLevel="0" collapsed="false">
      <c r="A5" s="9" t="s">
        <v>86</v>
      </c>
      <c r="B5" s="23" t="n">
        <v>0</v>
      </c>
      <c r="C5" s="23" t="n">
        <v>0</v>
      </c>
      <c r="D5" s="23" t="n">
        <v>0</v>
      </c>
      <c r="E5" s="23" t="n">
        <v>2</v>
      </c>
      <c r="F5" s="23" t="n">
        <v>0</v>
      </c>
    </row>
    <row r="7" customFormat="false" ht="15" hidden="false" customHeight="true" outlineLevel="0" collapsed="false">
      <c r="A7" s="8" t="s">
        <v>87</v>
      </c>
      <c r="B7" s="8"/>
      <c r="C7" s="8"/>
      <c r="D7" s="8"/>
      <c r="E7" s="8"/>
      <c r="F7" s="8"/>
    </row>
    <row r="8" customFormat="false" ht="15" hidden="false" customHeight="true" outlineLevel="0" collapsed="false">
      <c r="A8" s="9" t="s">
        <v>88</v>
      </c>
      <c r="B8" s="23" t="n">
        <v>2</v>
      </c>
      <c r="C8" s="23" t="n">
        <v>1</v>
      </c>
      <c r="D8" s="23" t="n">
        <v>0</v>
      </c>
      <c r="E8" s="23" t="n">
        <v>0</v>
      </c>
      <c r="F8" s="23" t="n">
        <v>0</v>
      </c>
    </row>
    <row r="9" customFormat="false" ht="15" hidden="false" customHeight="true" outlineLevel="0" collapsed="false">
      <c r="A9" s="9" t="s">
        <v>89</v>
      </c>
      <c r="B9" s="23" t="n">
        <v>2</v>
      </c>
      <c r="C9" s="23" t="n">
        <v>0</v>
      </c>
      <c r="D9" s="23" t="n">
        <v>0</v>
      </c>
      <c r="E9" s="23" t="n">
        <v>0</v>
      </c>
      <c r="F9" s="23" t="n">
        <v>0</v>
      </c>
    </row>
    <row r="11" customFormat="false" ht="15" hidden="false" customHeight="true" outlineLevel="0" collapsed="false">
      <c r="A11" s="9" t="s">
        <v>90</v>
      </c>
      <c r="B11" s="23" t="n">
        <v>2</v>
      </c>
    </row>
    <row r="12" customFormat="false" ht="15" hidden="false" customHeight="true" outlineLevel="0" collapsed="false">
      <c r="A12" s="9" t="s">
        <v>91</v>
      </c>
      <c r="B12" s="23" t="n">
        <v>1</v>
      </c>
    </row>
    <row r="13" customFormat="false" ht="15" hidden="false" customHeight="true" outlineLevel="0" collapsed="false">
      <c r="A13" s="9" t="s">
        <v>92</v>
      </c>
      <c r="B13" s="10" t="n">
        <v>0.3</v>
      </c>
    </row>
    <row r="14" customFormat="false" ht="15" hidden="false" customHeight="true" outlineLevel="0" collapsed="false">
      <c r="A14" s="9" t="s">
        <v>93</v>
      </c>
      <c r="B14" s="22" t="n">
        <v>300</v>
      </c>
    </row>
    <row r="15" customFormat="false" ht="15" hidden="false" customHeight="true" outlineLevel="0" collapsed="false">
      <c r="A15" s="9" t="s">
        <v>94</v>
      </c>
      <c r="B15" s="24" t="n">
        <v>0.7</v>
      </c>
    </row>
    <row r="16" customFormat="false" ht="15" hidden="false" customHeight="true" outlineLevel="0" collapsed="false">
      <c r="A16" s="9" t="s">
        <v>95</v>
      </c>
      <c r="B16" s="24" t="n">
        <v>2</v>
      </c>
    </row>
    <row r="18" customFormat="false" ht="15" hidden="false" customHeight="true" outlineLevel="0" collapsed="false">
      <c r="A18" s="8" t="s">
        <v>96</v>
      </c>
      <c r="B18" s="8" t="s">
        <v>80</v>
      </c>
      <c r="C18" s="8" t="s">
        <v>81</v>
      </c>
      <c r="D18" s="8" t="s">
        <v>82</v>
      </c>
      <c r="E18" s="8" t="s">
        <v>83</v>
      </c>
      <c r="F18" s="8" t="s">
        <v>84</v>
      </c>
    </row>
    <row r="19" customFormat="false" ht="15" hidden="false" customHeight="true" outlineLevel="0" collapsed="false">
      <c r="A19" s="11" t="s">
        <v>97</v>
      </c>
      <c r="B19" s="17" t="n">
        <f aca="false">LOG(1+1,2)</f>
        <v>1</v>
      </c>
      <c r="C19" s="17" t="n">
        <f aca="false">LOG(2+1,2)</f>
        <v>1.58496250072116</v>
      </c>
      <c r="D19" s="17" t="n">
        <f aca="false">LOG(3+1,2)</f>
        <v>2</v>
      </c>
      <c r="E19" s="17" t="n">
        <f aca="false">LOG(4+1,2)</f>
        <v>2.32192809488736</v>
      </c>
      <c r="F19" s="17" t="n">
        <f aca="false">LOG(5+1,2)</f>
        <v>2.58496250072116</v>
      </c>
    </row>
    <row r="20" customFormat="false" ht="15" hidden="false" customHeight="true" outlineLevel="0" collapsed="false">
      <c r="A20" s="11" t="s">
        <v>98</v>
      </c>
      <c r="B20" s="17" t="n">
        <f aca="false">(2^B4-1)/B19</f>
        <v>3</v>
      </c>
      <c r="C20" s="17" t="n">
        <f aca="false">(2^C4-1)/C19</f>
        <v>0</v>
      </c>
      <c r="D20" s="17" t="n">
        <f aca="false">(2^D4-1)/D19</f>
        <v>0.5</v>
      </c>
      <c r="E20" s="17" t="n">
        <f aca="false">(2^E4-1)/E19</f>
        <v>0</v>
      </c>
      <c r="F20" s="17" t="n">
        <f aca="false">(2^F4-1)/F19</f>
        <v>0</v>
      </c>
    </row>
    <row r="21" customFormat="false" ht="15" hidden="false" customHeight="true" outlineLevel="0" collapsed="false">
      <c r="A21" s="11" t="s">
        <v>99</v>
      </c>
      <c r="B21" s="29" t="n">
        <f aca="false">IFERROR(LARGE($B$8:$F$8,1),0)</f>
        <v>2</v>
      </c>
      <c r="C21" s="29" t="n">
        <f aca="false">IFERROR(LARGE($B$8:$F$8,2),0)</f>
        <v>1</v>
      </c>
      <c r="D21" s="29" t="n">
        <f aca="false">IFERROR(LARGE($B$8:$F$8,3),0)</f>
        <v>0</v>
      </c>
      <c r="E21" s="29" t="n">
        <f aca="false">IFERROR(LARGE($B$8:$F$8,4),0)</f>
        <v>0</v>
      </c>
      <c r="F21" s="29" t="n">
        <f aca="false">IFERROR(LARGE($B$8:$F$8,5),0)</f>
        <v>0</v>
      </c>
    </row>
    <row r="22" customFormat="false" ht="15" hidden="false" customHeight="true" outlineLevel="0" collapsed="false">
      <c r="A22" s="11" t="s">
        <v>100</v>
      </c>
      <c r="B22" s="17" t="n">
        <f aca="false">(2^B21-1)/B19</f>
        <v>3</v>
      </c>
      <c r="C22" s="17" t="n">
        <f aca="false">(2^C21-1)/C19</f>
        <v>0.630929753571457</v>
      </c>
      <c r="D22" s="17" t="n">
        <f aca="false">(2^D21-1)/D19</f>
        <v>0</v>
      </c>
      <c r="E22" s="17" t="n">
        <f aca="false">(2^E21-1)/E19</f>
        <v>0</v>
      </c>
      <c r="F22" s="17" t="n">
        <f aca="false">(2^F21-1)/F19</f>
        <v>0</v>
      </c>
    </row>
    <row r="23" customFormat="false" ht="15" hidden="false" customHeight="true" outlineLevel="0" collapsed="false">
      <c r="A23" s="11" t="s">
        <v>101</v>
      </c>
      <c r="B23" s="17" t="n">
        <f aca="false">B4/B19</f>
        <v>2</v>
      </c>
      <c r="C23" s="17" t="n">
        <f aca="false">C4/C19</f>
        <v>0</v>
      </c>
      <c r="D23" s="17" t="n">
        <f aca="false">D4/D19</f>
        <v>0.5</v>
      </c>
      <c r="E23" s="17" t="n">
        <f aca="false">E4/E19</f>
        <v>0</v>
      </c>
      <c r="F23" s="17" t="n">
        <f aca="false">F4/F19</f>
        <v>0</v>
      </c>
    </row>
    <row r="24" customFormat="false" ht="15" hidden="false" customHeight="true" outlineLevel="0" collapsed="false">
      <c r="A24" s="11" t="s">
        <v>102</v>
      </c>
      <c r="B24" s="17" t="n">
        <f aca="false">B21/B19</f>
        <v>2</v>
      </c>
      <c r="C24" s="17" t="n">
        <f aca="false">C21/C19</f>
        <v>0.630929753571457</v>
      </c>
      <c r="D24" s="17" t="n">
        <f aca="false">D21/D19</f>
        <v>0</v>
      </c>
      <c r="E24" s="17" t="n">
        <f aca="false">E21/E19</f>
        <v>0</v>
      </c>
      <c r="F24" s="17" t="n">
        <f aca="false">F21/F19</f>
        <v>0</v>
      </c>
    </row>
    <row r="25" customFormat="false" ht="15" hidden="false" customHeight="true" outlineLevel="0" collapsed="false">
      <c r="A25" s="11" t="s">
        <v>103</v>
      </c>
      <c r="B25" s="29" t="n">
        <f aca="false">IF(B4&gt;0,1,0)</f>
        <v>1</v>
      </c>
      <c r="C25" s="29" t="n">
        <f aca="false">IF(C4&gt;0,1,0)</f>
        <v>0</v>
      </c>
      <c r="D25" s="29" t="n">
        <f aca="false">IF(D4&gt;0,1,0)</f>
        <v>1</v>
      </c>
      <c r="E25" s="29" t="n">
        <f aca="false">IF(E4&gt;0,1,0)</f>
        <v>0</v>
      </c>
      <c r="F25" s="29" t="n">
        <f aca="false">IF(F4&gt;0,1,0)</f>
        <v>0</v>
      </c>
    </row>
    <row r="26" customFormat="false" ht="15" hidden="false" customHeight="true" outlineLevel="0" collapsed="false">
      <c r="A26" s="11" t="s">
        <v>104</v>
      </c>
      <c r="B26" s="17" t="n">
        <f aca="false">(2^B5-1)/B19</f>
        <v>0</v>
      </c>
      <c r="C26" s="17" t="n">
        <f aca="false">(2^C5-1)/C19</f>
        <v>0</v>
      </c>
      <c r="D26" s="17" t="n">
        <f aca="false">(2^D5-1)/D19</f>
        <v>0</v>
      </c>
      <c r="E26" s="17" t="n">
        <f aca="false">(2^E5-1)/E19</f>
        <v>1.29202967422018</v>
      </c>
      <c r="F26" s="17" t="n">
        <f aca="false">(2^F5-1)/F19</f>
        <v>0</v>
      </c>
    </row>
    <row r="27" customFormat="false" ht="15" hidden="false" customHeight="true" outlineLevel="0" collapsed="false">
      <c r="A27" s="11" t="s">
        <v>105</v>
      </c>
      <c r="B27" s="29" t="n">
        <f aca="false">IFERROR(LARGE($B$9:$F$9,1),0)</f>
        <v>2</v>
      </c>
      <c r="C27" s="29" t="n">
        <f aca="false">IFERROR(LARGE($B$9:$F$9,2),0)</f>
        <v>0</v>
      </c>
      <c r="D27" s="29" t="n">
        <f aca="false">IFERROR(LARGE($B$9:$F$9,3),0)</f>
        <v>0</v>
      </c>
      <c r="E27" s="29" t="n">
        <f aca="false">IFERROR(LARGE($B$9:$F$9,4),0)</f>
        <v>0</v>
      </c>
      <c r="F27" s="29" t="n">
        <f aca="false">IFERROR(LARGE($B$9:$F$9,5),0)</f>
        <v>0</v>
      </c>
    </row>
    <row r="28" customFormat="false" ht="15" hidden="false" customHeight="true" outlineLevel="0" collapsed="false">
      <c r="A28" s="11" t="s">
        <v>106</v>
      </c>
      <c r="B28" s="17" t="n">
        <f aca="false">(2^B27-1)/B19</f>
        <v>3</v>
      </c>
      <c r="C28" s="17" t="n">
        <f aca="false">(2^C27-1)/C19</f>
        <v>0</v>
      </c>
      <c r="D28" s="17" t="n">
        <f aca="false">(2^D27-1)/D19</f>
        <v>0</v>
      </c>
      <c r="E28" s="17" t="n">
        <f aca="false">(2^E27-1)/E19</f>
        <v>0</v>
      </c>
      <c r="F28" s="17" t="n">
        <f aca="false">(2^F27-1)/F19</f>
        <v>0</v>
      </c>
    </row>
    <row r="29" customFormat="false" ht="15" hidden="false" customHeight="true" outlineLevel="0" collapsed="false">
      <c r="A29" s="11" t="s">
        <v>107</v>
      </c>
      <c r="B29" s="29" t="n">
        <f aca="false">IF(B5&gt;0,1,0)</f>
        <v>0</v>
      </c>
      <c r="C29" s="29" t="n">
        <f aca="false">IF(C5&gt;0,1,0)</f>
        <v>0</v>
      </c>
      <c r="D29" s="29" t="n">
        <f aca="false">IF(D5&gt;0,1,0)</f>
        <v>0</v>
      </c>
      <c r="E29" s="29" t="n">
        <f aca="false">IF(E5&gt;0,1,0)</f>
        <v>1</v>
      </c>
      <c r="F29" s="29" t="n">
        <f aca="false">IF(F5&gt;0,1,0)</f>
        <v>0</v>
      </c>
    </row>
    <row r="31" customFormat="false" ht="15" hidden="false" customHeight="true" outlineLevel="0" collapsed="false">
      <c r="A31" s="8" t="s">
        <v>31</v>
      </c>
      <c r="B31" s="8" t="s">
        <v>108</v>
      </c>
      <c r="C31" s="8" t="s">
        <v>109</v>
      </c>
    </row>
    <row r="32" customFormat="false" ht="15" hidden="false" customHeight="true" outlineLevel="0" collapsed="false">
      <c r="A32" s="11" t="s">
        <v>110</v>
      </c>
      <c r="B32" s="17" t="n">
        <f aca="false">SUM(B20:F20)</f>
        <v>3.5</v>
      </c>
      <c r="C32" s="17" t="n">
        <f aca="false">SUM(B26:F26)</f>
        <v>1.29202967422018</v>
      </c>
    </row>
    <row r="33" customFormat="false" ht="15" hidden="false" customHeight="true" outlineLevel="0" collapsed="false">
      <c r="A33" s="13" t="s">
        <v>33</v>
      </c>
      <c r="B33" s="18" t="n">
        <v>3.5</v>
      </c>
      <c r="C33" s="18" t="n">
        <v>1.292</v>
      </c>
    </row>
    <row r="34" customFormat="false" ht="15" hidden="false" customHeight="true" outlineLevel="0" collapsed="false">
      <c r="A34" s="11" t="s">
        <v>111</v>
      </c>
      <c r="B34" s="17" t="n">
        <f aca="false">SUM(B22:F22)</f>
        <v>3.63092975357146</v>
      </c>
      <c r="C34" s="17" t="n">
        <f aca="false">SUM(B28:F28)</f>
        <v>3</v>
      </c>
    </row>
    <row r="35" customFormat="false" ht="15" hidden="false" customHeight="true" outlineLevel="0" collapsed="false">
      <c r="A35" s="13" t="s">
        <v>33</v>
      </c>
      <c r="B35" s="18" t="n">
        <v>3.631</v>
      </c>
      <c r="C35" s="18" t="n">
        <v>3</v>
      </c>
    </row>
    <row r="36" customFormat="false" ht="15" hidden="false" customHeight="true" outlineLevel="0" collapsed="false">
      <c r="A36" s="11" t="s">
        <v>112</v>
      </c>
      <c r="B36" s="17" t="n">
        <f aca="false">IF(B34=0,0,B32/B34)</f>
        <v>0.963940433316653</v>
      </c>
      <c r="C36" s="17" t="n">
        <f aca="false">IF(C34=0,0,C32/C34)</f>
        <v>0.430676558073393</v>
      </c>
    </row>
    <row r="37" customFormat="false" ht="15" hidden="false" customHeight="true" outlineLevel="0" collapsed="false">
      <c r="A37" s="13" t="s">
        <v>33</v>
      </c>
      <c r="B37" s="18" t="n">
        <v>0.964</v>
      </c>
      <c r="C37" s="18" t="n">
        <v>0.431</v>
      </c>
    </row>
    <row r="38" customFormat="false" ht="15" hidden="false" customHeight="true" outlineLevel="0" collapsed="false">
      <c r="A38" s="11" t="s">
        <v>113</v>
      </c>
      <c r="B38" s="17" t="n">
        <f aca="false">IF(SUM(B24:F24)=0,0,SUM(B23:F23)/SUM(B24:F24))</f>
        <v>0.950234416789836</v>
      </c>
      <c r="C38" s="17"/>
    </row>
    <row r="39" customFormat="false" ht="15" hidden="false" customHeight="true" outlineLevel="0" collapsed="false">
      <c r="A39" s="13" t="s">
        <v>33</v>
      </c>
      <c r="B39" s="18" t="n">
        <v>0.95</v>
      </c>
      <c r="C39" s="18"/>
    </row>
    <row r="40" customFormat="false" ht="15" hidden="false" customHeight="true" outlineLevel="0" collapsed="false">
      <c r="A40" s="11" t="s">
        <v>114</v>
      </c>
      <c r="B40" s="12" t="n">
        <f aca="false">IFERROR(1/MATCH(1,B25:F25,0),0)</f>
        <v>1</v>
      </c>
      <c r="C40" s="12" t="n">
        <f aca="false">IFERROR(1/MATCH(1,B29:F29,0),0)</f>
        <v>0.25</v>
      </c>
    </row>
    <row r="41" customFormat="false" ht="15" hidden="false" customHeight="true" outlineLevel="0" collapsed="false">
      <c r="A41" s="13" t="s">
        <v>33</v>
      </c>
      <c r="B41" s="14" t="n">
        <v>1</v>
      </c>
      <c r="C41" s="14" t="n">
        <v>0.25</v>
      </c>
    </row>
    <row r="42" customFormat="false" ht="15" hidden="false" customHeight="true" outlineLevel="0" collapsed="false">
      <c r="A42" s="11" t="s">
        <v>115</v>
      </c>
      <c r="B42" s="12" t="n">
        <f aca="false">SUM(B25:D25)/B11</f>
        <v>1</v>
      </c>
      <c r="C42" s="12" t="n">
        <f aca="false">SUM(B29:D29)/B12</f>
        <v>0</v>
      </c>
    </row>
    <row r="43" customFormat="false" ht="15" hidden="false" customHeight="true" outlineLevel="0" collapsed="false">
      <c r="A43" s="13" t="s">
        <v>33</v>
      </c>
      <c r="B43" s="14"/>
      <c r="C43" s="14" t="n">
        <v>0</v>
      </c>
    </row>
    <row r="44" customFormat="false" ht="15" hidden="false" customHeight="true" outlineLevel="0" collapsed="false">
      <c r="A44" s="11" t="s">
        <v>116</v>
      </c>
      <c r="B44" s="12" t="n">
        <f aca="false">SUM(B25:F25)/B11</f>
        <v>1</v>
      </c>
      <c r="C44" s="12" t="n">
        <f aca="false">SUM(B29:F29)/B12</f>
        <v>1</v>
      </c>
    </row>
    <row r="45" customFormat="false" ht="15" hidden="false" customHeight="true" outlineLevel="0" collapsed="false">
      <c r="A45" s="13" t="s">
        <v>33</v>
      </c>
      <c r="B45" s="14" t="n">
        <v>1</v>
      </c>
      <c r="C45" s="14" t="n">
        <v>1</v>
      </c>
    </row>
    <row r="46" customFormat="false" ht="15" hidden="false" customHeight="true" outlineLevel="0" collapsed="false">
      <c r="A46" s="11" t="s">
        <v>117</v>
      </c>
      <c r="B46" s="11" t="str">
        <f aca="false">IF(AND(B32&lt;=B34+0.000001,COUNTIF(B8:F8,"&gt;0")=MIN(B11,5),SUM(B25:F25)&lt;=B11),"OK","check inputs")</f>
        <v>OK</v>
      </c>
      <c r="C46" s="11" t="str">
        <f aca="false">IF(AND(C32&lt;=C34+0.000001,COUNTIF(B9:F9,"&gt;0")=MIN(B12,5),SUM(B29:F29)&lt;=B12),"OK","check inputs")</f>
        <v>OK</v>
      </c>
    </row>
    <row r="48" customFormat="false" ht="15" hidden="false" customHeight="true" outlineLevel="0" collapsed="false">
      <c r="A48" s="8" t="s">
        <v>118</v>
      </c>
      <c r="B48" s="8" t="s">
        <v>62</v>
      </c>
    </row>
    <row r="49" customFormat="false" ht="15" hidden="false" customHeight="true" outlineLevel="0" collapsed="false">
      <c r="A49" s="11" t="s">
        <v>119</v>
      </c>
      <c r="B49" s="12" t="n">
        <f aca="false">AVERAGE(B36,C36)</f>
        <v>0.697308495695023</v>
      </c>
    </row>
    <row r="50" customFormat="false" ht="15" hidden="false" customHeight="true" outlineLevel="0" collapsed="false">
      <c r="A50" s="13" t="s">
        <v>33</v>
      </c>
      <c r="B50" s="14" t="n">
        <v>0.7</v>
      </c>
    </row>
    <row r="51" customFormat="false" ht="15" hidden="false" customHeight="true" outlineLevel="0" collapsed="false">
      <c r="A51" s="11" t="s">
        <v>120</v>
      </c>
      <c r="B51" s="17" t="n">
        <f aca="false">AVERAGE(B40,C40)</f>
        <v>0.625</v>
      </c>
    </row>
    <row r="52" customFormat="false" ht="15" hidden="false" customHeight="true" outlineLevel="0" collapsed="false">
      <c r="A52" s="13" t="s">
        <v>33</v>
      </c>
      <c r="B52" s="18" t="n">
        <v>0.625</v>
      </c>
    </row>
    <row r="53" customFormat="false" ht="15" hidden="false" customHeight="true" outlineLevel="0" collapsed="false">
      <c r="A53" s="11" t="s">
        <v>121</v>
      </c>
      <c r="B53" s="17" t="n">
        <f aca="false">B13/SQRT(B14)</f>
        <v>0.0173205080756888</v>
      </c>
    </row>
    <row r="54" customFormat="false" ht="15" hidden="false" customHeight="true" outlineLevel="0" collapsed="false">
      <c r="A54" s="13" t="s">
        <v>33</v>
      </c>
      <c r="B54" s="18" t="n">
        <v>0.017</v>
      </c>
    </row>
    <row r="55" customFormat="false" ht="15" hidden="false" customHeight="true" outlineLevel="0" collapsed="false">
      <c r="A55" s="11" t="s">
        <v>122</v>
      </c>
      <c r="B55" s="17" t="n">
        <f aca="false">B13*SQRT(2*(1-B15)/B14)</f>
        <v>0.0134164078649987</v>
      </c>
    </row>
    <row r="56" customFormat="false" ht="15" hidden="false" customHeight="true" outlineLevel="0" collapsed="false">
      <c r="A56" s="13" t="s">
        <v>33</v>
      </c>
      <c r="B56" s="18" t="n">
        <v>0.013</v>
      </c>
    </row>
    <row r="57" customFormat="false" ht="15" hidden="false" customHeight="true" outlineLevel="0" collapsed="false">
      <c r="A57" s="11" t="s">
        <v>123</v>
      </c>
      <c r="B57" s="12" t="n">
        <f aca="false">B16*B55</f>
        <v>0.0268328157299975</v>
      </c>
    </row>
    <row r="58" customFormat="false" ht="15" hidden="false" customHeight="true" outlineLevel="0" collapsed="false">
      <c r="A58" s="13" t="s">
        <v>33</v>
      </c>
      <c r="B58" s="14" t="n">
        <v>0.03</v>
      </c>
    </row>
    <row r="60" customFormat="false" ht="15" hidden="false" customHeight="true" outlineLevel="0" collapsed="false">
      <c r="A60" s="21" t="s">
        <v>124</v>
      </c>
    </row>
    <row r="61" customFormat="false" ht="15" hidden="false" customHeight="true" outlineLevel="0" collapsed="false">
      <c r="A61" s="21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126</v>
      </c>
    </row>
    <row r="3" customFormat="false" ht="15" hidden="false" customHeight="true" outlineLevel="0" collapsed="false">
      <c r="A3" s="9" t="s">
        <v>127</v>
      </c>
      <c r="B3" s="22" t="n">
        <v>343</v>
      </c>
    </row>
    <row r="4" customFormat="false" ht="15" hidden="false" customHeight="true" outlineLevel="0" collapsed="false">
      <c r="A4" s="9" t="s">
        <v>128</v>
      </c>
      <c r="B4" s="22" t="n">
        <v>670000</v>
      </c>
    </row>
    <row r="5" customFormat="false" ht="15" hidden="false" customHeight="true" outlineLevel="0" collapsed="false">
      <c r="A5" s="9" t="s">
        <v>129</v>
      </c>
      <c r="B5" s="22" t="n">
        <v>512</v>
      </c>
    </row>
    <row r="6" customFormat="false" ht="15" hidden="false" customHeight="true" outlineLevel="0" collapsed="false">
      <c r="A6" s="9" t="s">
        <v>130</v>
      </c>
      <c r="B6" s="24" t="n">
        <v>0.6</v>
      </c>
    </row>
    <row r="7" customFormat="false" ht="15" hidden="false" customHeight="true" outlineLevel="0" collapsed="false">
      <c r="A7" s="9" t="s">
        <v>60</v>
      </c>
      <c r="B7" s="22" t="n">
        <v>50</v>
      </c>
    </row>
    <row r="8" customFormat="false" ht="15" hidden="false" customHeight="true" outlineLevel="0" collapsed="false">
      <c r="A8" s="9" t="s">
        <v>131</v>
      </c>
      <c r="B8" s="24" t="n">
        <v>0.1</v>
      </c>
    </row>
    <row r="9" customFormat="false" ht="15" hidden="false" customHeight="true" outlineLevel="0" collapsed="false">
      <c r="A9" s="9" t="s">
        <v>132</v>
      </c>
      <c r="B9" s="24" t="n">
        <v>0.3</v>
      </c>
    </row>
    <row r="10" customFormat="false" ht="15" hidden="false" customHeight="true" outlineLevel="0" collapsed="false">
      <c r="A10" s="9" t="s">
        <v>133</v>
      </c>
      <c r="B10" s="24" t="n">
        <v>1</v>
      </c>
    </row>
    <row r="11" customFormat="false" ht="15" hidden="false" customHeight="true" outlineLevel="0" collapsed="false">
      <c r="A11" s="9" t="s">
        <v>134</v>
      </c>
      <c r="B11" s="24" t="n">
        <v>8</v>
      </c>
    </row>
    <row r="12" customFormat="false" ht="15" hidden="false" customHeight="true" outlineLevel="0" collapsed="false">
      <c r="A12" s="9" t="s">
        <v>135</v>
      </c>
      <c r="B12" s="22" t="n">
        <v>400</v>
      </c>
    </row>
    <row r="13" customFormat="false" ht="15" hidden="false" customHeight="true" outlineLevel="0" collapsed="false">
      <c r="A13" s="9" t="s">
        <v>136</v>
      </c>
      <c r="B13" s="22" t="n">
        <v>150</v>
      </c>
    </row>
    <row r="14" customFormat="false" ht="15" hidden="false" customHeight="true" outlineLevel="0" collapsed="false">
      <c r="A14" s="9" t="s">
        <v>137</v>
      </c>
      <c r="B14" s="10" t="n">
        <v>0.02</v>
      </c>
    </row>
    <row r="15" customFormat="false" ht="15" hidden="false" customHeight="true" outlineLevel="0" collapsed="false">
      <c r="A15" s="9" t="s">
        <v>138</v>
      </c>
      <c r="B15" s="10" t="n">
        <v>0.13</v>
      </c>
    </row>
    <row r="16" customFormat="false" ht="15" hidden="false" customHeight="true" outlineLevel="0" collapsed="false">
      <c r="A16" s="9" t="s">
        <v>139</v>
      </c>
      <c r="B16" s="22" t="n">
        <v>1024</v>
      </c>
    </row>
    <row r="17" customFormat="false" ht="15" hidden="false" customHeight="true" outlineLevel="0" collapsed="false">
      <c r="A17" s="9" t="s">
        <v>140</v>
      </c>
      <c r="B17" s="22" t="n">
        <v>4096</v>
      </c>
    </row>
    <row r="18" customFormat="false" ht="15" hidden="false" customHeight="true" outlineLevel="0" collapsed="false">
      <c r="A18" s="9" t="s">
        <v>141</v>
      </c>
      <c r="B18" s="22" t="n">
        <v>1024</v>
      </c>
    </row>
    <row r="19" customFormat="false" ht="15" hidden="false" customHeight="true" outlineLevel="0" collapsed="false">
      <c r="A19" s="9" t="s">
        <v>142</v>
      </c>
      <c r="B19" s="23" t="n">
        <v>4</v>
      </c>
    </row>
    <row r="20" customFormat="false" ht="15" hidden="false" customHeight="true" outlineLevel="0" collapsed="false">
      <c r="A20" s="9" t="s">
        <v>143</v>
      </c>
      <c r="B20" s="32" t="n">
        <v>0.01</v>
      </c>
    </row>
    <row r="22" customFormat="false" ht="15" hidden="false" customHeight="true" outlineLevel="0" collapsed="false">
      <c r="A22" s="8" t="s">
        <v>31</v>
      </c>
      <c r="B22" s="8" t="s">
        <v>62</v>
      </c>
    </row>
    <row r="23" customFormat="false" ht="15" hidden="false" customHeight="true" outlineLevel="0" collapsed="false">
      <c r="A23" s="11" t="s">
        <v>144</v>
      </c>
      <c r="B23" s="27" t="n">
        <f aca="false">2*B6*1000000000*B3*1000000</f>
        <v>4.116E+017</v>
      </c>
    </row>
    <row r="24" customFormat="false" ht="15" hidden="false" customHeight="true" outlineLevel="0" collapsed="false">
      <c r="A24" s="13" t="s">
        <v>33</v>
      </c>
      <c r="B24" s="28" t="n">
        <v>4.1E+017</v>
      </c>
    </row>
    <row r="25" customFormat="false" ht="15" hidden="false" customHeight="true" outlineLevel="0" collapsed="false">
      <c r="A25" s="11" t="s">
        <v>145</v>
      </c>
      <c r="B25" s="19" t="n">
        <f aca="false">B23/(B7*1000000000000)/3600</f>
        <v>2.28666666666667</v>
      </c>
    </row>
    <row r="26" customFormat="false" ht="15" hidden="false" customHeight="true" outlineLevel="0" collapsed="false">
      <c r="A26" s="13" t="s">
        <v>33</v>
      </c>
      <c r="B26" s="20" t="n">
        <v>2.3</v>
      </c>
    </row>
    <row r="27" customFormat="false" ht="15" hidden="false" customHeight="true" outlineLevel="0" collapsed="false">
      <c r="A27" s="11" t="s">
        <v>146</v>
      </c>
      <c r="B27" s="25" t="n">
        <f aca="false">B4/(B25*3600)</f>
        <v>81.3896987366375</v>
      </c>
    </row>
    <row r="28" customFormat="false" ht="15" hidden="false" customHeight="true" outlineLevel="0" collapsed="false">
      <c r="A28" s="13" t="s">
        <v>33</v>
      </c>
      <c r="B28" s="26" t="n">
        <v>80</v>
      </c>
    </row>
    <row r="29" customFormat="false" ht="15" hidden="false" customHeight="true" outlineLevel="0" collapsed="false">
      <c r="A29" s="11" t="s">
        <v>147</v>
      </c>
      <c r="B29" s="25" t="n">
        <f aca="false">B7*1000000000000/(2*B8*1000000000*B5)</f>
        <v>488.28125</v>
      </c>
    </row>
    <row r="30" customFormat="false" ht="15" hidden="false" customHeight="true" outlineLevel="0" collapsed="false">
      <c r="A30" s="13" t="s">
        <v>33</v>
      </c>
      <c r="B30" s="26" t="n">
        <v>500</v>
      </c>
    </row>
    <row r="31" customFormat="false" ht="15" hidden="false" customHeight="true" outlineLevel="0" collapsed="false">
      <c r="A31" s="11" t="s">
        <v>148</v>
      </c>
      <c r="B31" s="19" t="n">
        <f aca="false">B10*1000000000000/(2*B9*1000000000*B5)</f>
        <v>3.25520833333333</v>
      </c>
    </row>
    <row r="32" customFormat="false" ht="15" hidden="false" customHeight="true" outlineLevel="0" collapsed="false">
      <c r="A32" s="13" t="s">
        <v>33</v>
      </c>
      <c r="B32" s="20" t="n">
        <v>3</v>
      </c>
    </row>
    <row r="33" customFormat="false" ht="15" hidden="false" customHeight="true" outlineLevel="0" collapsed="false">
      <c r="A33" s="11" t="s">
        <v>149</v>
      </c>
      <c r="B33" s="27" t="n">
        <f aca="false">2*B11*1000000000*B3*1000000</f>
        <v>5.488E+018</v>
      </c>
    </row>
    <row r="34" customFormat="false" ht="15" hidden="false" customHeight="true" outlineLevel="0" collapsed="false">
      <c r="A34" s="13" t="s">
        <v>33</v>
      </c>
      <c r="B34" s="28" t="n">
        <v>5.5E+018</v>
      </c>
    </row>
    <row r="35" customFormat="false" ht="15" hidden="false" customHeight="true" outlineLevel="0" collapsed="false">
      <c r="A35" s="11" t="s">
        <v>150</v>
      </c>
      <c r="B35" s="29" t="n">
        <f aca="false">B33/(B7*1000000000000)/3600</f>
        <v>30.4888888888889</v>
      </c>
    </row>
    <row r="36" customFormat="false" ht="15" hidden="false" customHeight="true" outlineLevel="0" collapsed="false">
      <c r="A36" s="13" t="s">
        <v>33</v>
      </c>
      <c r="B36" s="30" t="n">
        <v>30</v>
      </c>
    </row>
    <row r="37" customFormat="false" ht="15" hidden="false" customHeight="true" outlineLevel="0" collapsed="false">
      <c r="A37" s="11" t="s">
        <v>151</v>
      </c>
      <c r="B37" s="19" t="n">
        <f aca="false">B33/(B12*1000000000000)/3600</f>
        <v>3.81111111111111</v>
      </c>
    </row>
    <row r="38" customFormat="false" ht="15" hidden="false" customHeight="true" outlineLevel="0" collapsed="false">
      <c r="A38" s="13" t="s">
        <v>33</v>
      </c>
      <c r="B38" s="20" t="n">
        <v>3.8</v>
      </c>
    </row>
    <row r="39" customFormat="false" ht="15" hidden="false" customHeight="true" outlineLevel="0" collapsed="false">
      <c r="A39" s="11" t="s">
        <v>152</v>
      </c>
      <c r="B39" s="12" t="n">
        <f aca="false">B3*B14</f>
        <v>6.86</v>
      </c>
    </row>
    <row r="40" customFormat="false" ht="15" hidden="false" customHeight="true" outlineLevel="0" collapsed="false">
      <c r="A40" s="13" t="s">
        <v>33</v>
      </c>
      <c r="B40" s="14" t="n">
        <v>6.86</v>
      </c>
    </row>
    <row r="41" customFormat="false" ht="15" hidden="false" customHeight="true" outlineLevel="0" collapsed="false">
      <c r="A41" s="11" t="s">
        <v>153</v>
      </c>
      <c r="B41" s="12" t="n">
        <f aca="false">B3*B15</f>
        <v>44.59</v>
      </c>
    </row>
    <row r="42" customFormat="false" ht="15" hidden="false" customHeight="true" outlineLevel="0" collapsed="false">
      <c r="A42" s="13" t="s">
        <v>33</v>
      </c>
      <c r="B42" s="14" t="n">
        <v>44.59</v>
      </c>
    </row>
    <row r="43" customFormat="false" ht="15" hidden="false" customHeight="true" outlineLevel="0" collapsed="false">
      <c r="A43" s="11" t="s">
        <v>154</v>
      </c>
      <c r="B43" s="19" t="n">
        <f aca="false">B4*B16*B19/1000000000</f>
        <v>2.74432</v>
      </c>
    </row>
    <row r="44" customFormat="false" ht="15" hidden="false" customHeight="true" outlineLevel="0" collapsed="false">
      <c r="A44" s="13" t="s">
        <v>33</v>
      </c>
      <c r="B44" s="20" t="n">
        <v>2.7</v>
      </c>
    </row>
    <row r="45" customFormat="false" ht="15" hidden="false" customHeight="true" outlineLevel="0" collapsed="false">
      <c r="A45" s="11" t="s">
        <v>155</v>
      </c>
      <c r="B45" s="29" t="n">
        <f aca="false">B4*B17*B19/1000000000</f>
        <v>10.97728</v>
      </c>
    </row>
    <row r="46" customFormat="false" ht="15" hidden="false" customHeight="true" outlineLevel="0" collapsed="false">
      <c r="A46" s="13" t="s">
        <v>33</v>
      </c>
      <c r="B46" s="30" t="n">
        <v>11</v>
      </c>
    </row>
    <row r="47" customFormat="false" ht="15" hidden="false" customHeight="true" outlineLevel="0" collapsed="false">
      <c r="A47" s="11" t="s">
        <v>156</v>
      </c>
      <c r="B47" s="19" t="n">
        <f aca="false">B4*B18*B19/1000000000</f>
        <v>2.74432</v>
      </c>
    </row>
    <row r="48" customFormat="false" ht="15" hidden="false" customHeight="true" outlineLevel="0" collapsed="false">
      <c r="A48" s="13" t="s">
        <v>33</v>
      </c>
      <c r="B48" s="20" t="n">
        <v>2.7</v>
      </c>
    </row>
    <row r="49" customFormat="false" ht="15" hidden="false" customHeight="true" outlineLevel="0" collapsed="false">
      <c r="A49" s="11" t="s">
        <v>157</v>
      </c>
      <c r="B49" s="19" t="n">
        <f aca="false">B3*B20</f>
        <v>3.43</v>
      </c>
    </row>
    <row r="50" customFormat="false" ht="15" hidden="false" customHeight="true" outlineLevel="0" collapsed="false">
      <c r="A50" s="13" t="s">
        <v>33</v>
      </c>
      <c r="B50" s="20" t="n">
        <v>3.4</v>
      </c>
    </row>
    <row r="51" customFormat="false" ht="15" hidden="false" customHeight="true" outlineLevel="0" collapsed="false">
      <c r="A51" s="11" t="s">
        <v>158</v>
      </c>
      <c r="B51" s="29" t="n">
        <f aca="false">2*B6*1000000000*B49*1000000/(B7*1000000000000)</f>
        <v>82.32</v>
      </c>
    </row>
    <row r="52" customFormat="false" ht="15" hidden="false" customHeight="true" outlineLevel="0" collapsed="false">
      <c r="A52" s="13" t="s">
        <v>33</v>
      </c>
      <c r="B52" s="30" t="n">
        <v>80</v>
      </c>
    </row>
    <row r="53" customFormat="false" ht="15" hidden="false" customHeight="true" outlineLevel="0" collapsed="false">
      <c r="A53" s="11" t="s">
        <v>159</v>
      </c>
      <c r="B53" s="29" t="n">
        <f aca="false">B23/(B13*1000000000000)/60</f>
        <v>45.7333333333333</v>
      </c>
    </row>
    <row r="55" customFormat="false" ht="15" hidden="false" customHeight="true" outlineLevel="0" collapsed="false">
      <c r="A55" s="21" t="s">
        <v>160</v>
      </c>
    </row>
    <row r="56" customFormat="false" ht="15" hidden="false" customHeight="true" outlineLevel="0" collapsed="false">
      <c r="A56" s="21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2026-10-26T14:32:59Z</dcterms:created>
  <dc:creator>openpyxl</dc:creator>
  <dc:description/>
  <dc:language>en-US</dc:language>
  <cp:lastModifiedBy/>
  <dcterms:modified xsi:type="dcterms:W3CDTF">2026-10-26T14:32:59Z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