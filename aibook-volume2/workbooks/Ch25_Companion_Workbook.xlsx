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eakage" sheetId="2" state="visible" r:id="rId4"/>
    <sheet name="Risk Register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<sst xmlns="http://schemas.openxmlformats.org/spreadsheetml/2006/main" count="89" uniqueCount="74">
  <si>
    <t xml:space="preserve">Chapter 25 — Security, Privacy and Governance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</si>
  <si>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</si>
  <si>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</si>
  <si>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</si>
  <si>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</si>
  <si>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Leakage</t>
  </si>
  <si>
    <t xml:space="preserve">Sensitive items that pass the semantic firewall to the cloud: one detector, two independent detectors, two correlated detectors, and the effect of policy and cost routing.</t>
  </si>
  <si>
    <t xml:space="preserve">Section 25.4, Worked Example 25.2 (traffic from Worked Example 24.2)</t>
  </si>
  <si>
    <t xml:space="preserve">Risk Register</t>
  </si>
  <si>
    <t xml:space="preserve">Likelihood × impact scores of four risks of the corporate assistant before and after controls, with the residual ranking.</t>
  </si>
  <si>
    <t xml:space="preserve">Section 25.5, Worked Example 25.3</t>
  </si>
  <si>
    <t xml:space="preserve">Notes</t>
  </si>
  <si>
    <t xml:space="preserve">Worked Example 25.1 (pseudonymization) is a procedure, not a calculation, and has no sheet.</t>
  </si>
  <si>
    <t xml:space="preserve">Rates are per item and per request as defined in the text; a year is 250 working days. Measure the combined miss rate of real detectors on a labeled sample (Section 35.2) rather than relying on the independence or correlation assumptions of the Leakage sheet.</t>
  </si>
  <si>
    <t xml:space="preserve">How Much Leaks Past an Imperfect Detector (Worked Example 25.2)</t>
  </si>
  <si>
    <t xml:space="preserve">Requests to the corporate assistant per day (Worked Example 24.2)</t>
  </si>
  <si>
    <t xml:space="preserve">Share kept on the Rack by policy routing (Confidential/Restricted; WE 24.2)</t>
  </si>
  <si>
    <t xml:space="preserve">Share of permitted requests escalated to the cloud by cost routing (WE 24.2)</t>
  </si>
  <si>
    <t xml:space="preserve">Share of cloud requests with at least one Confidential item</t>
  </si>
  <si>
    <t xml:space="preserve">Detector 1: share of sensitive items caught</t>
  </si>
  <si>
    <t xml:space="preserve">Detector 2: share of sensitive items caught</t>
  </si>
  <si>
    <t xml:space="preserve">Sensitive items per sensitive request (detected independently)</t>
  </si>
  <si>
    <t xml:space="preserve">Correlation between the two detectors' misses</t>
  </si>
  <si>
    <t xml:space="preserve">Working days per year</t>
  </si>
  <si>
    <t xml:space="preserve">Policy routing only (cloud receives every permitted request)</t>
  </si>
  <si>
    <t xml:space="preserve">Requests sent to the cloud per day</t>
  </si>
  <si>
    <t xml:space="preserve">   Value in the book</t>
  </si>
  <si>
    <t xml:space="preserve">Requests kept on the Rack by policy per day</t>
  </si>
  <si>
    <t xml:space="preserve">Sensitive requests per day</t>
  </si>
  <si>
    <t xml:space="preserve">Detector 1 miss rate per item</t>
  </si>
  <si>
    <t xml:space="preserve">One detector: share of sensitive requests with a missed item</t>
  </si>
  <si>
    <t xml:space="preserve">One detector: leaking requests per day</t>
  </si>
  <si>
    <t xml:space="preserve">One detector: leaking requests per year</t>
  </si>
  <si>
    <t xml:space="preserve">   Value in the book (worked example: about 4,100)</t>
  </si>
  <si>
    <t xml:space="preserve">   Value in the book (Reading line: about 4,100)</t>
  </si>
  <si>
    <t xml:space="preserve">Detector 2 miss rate per item</t>
  </si>
  <si>
    <t xml:space="preserve">Two independent detectors: miss rate per item</t>
  </si>
  <si>
    <t xml:space="preserve">Two independent detectors: share of sensitive requests with a missed item</t>
  </si>
  <si>
    <t xml:space="preserve">Two independent detectors: leaking requests per day</t>
  </si>
  <si>
    <t xml:space="preserve">Two independent detectors: leaking requests per year</t>
  </si>
  <si>
    <t xml:space="preserve">Two correlated detectors: miss rate per item</t>
  </si>
  <si>
    <t xml:space="preserve">Check: correlation gives a feasible joint miss rate</t>
  </si>
  <si>
    <t xml:space="preserve">Two correlated detectors: share of sensitive requests with a missed item</t>
  </si>
  <si>
    <t xml:space="preserve">Two correlated detectors: leaking requests per year</t>
  </si>
  <si>
    <t xml:space="preserve">Policy routing followed by cost routing</t>
  </si>
  <si>
    <t xml:space="preserve">   Value in the book (about)</t>
  </si>
  <si>
    <t xml:space="preserve">Reading: a detector that catches 97% of sensitive items still lets thousands through in a year. Layer detectors, minimize what is sent, and keep the most sensitive classes local by design.</t>
  </si>
  <si>
    <t xml:space="preserve">A request leaks if any of its items is missed: 1 − (1 − miss rate)^items. Correlated misses: P(both miss) = m1·m2 + ρ·√(m1(1−m1)·m2(1−m2)), the joint probability of two binary events with correlation ρ. It is kept within its feasible range, max(0, m1 + m2 − 1) to min(m1, m2).</t>
  </si>
  <si>
    <t xml:space="preserve">One detector: about 16.5 leaking requests a day × 250 working days = 4,137, about 4,100 a year, the value the worked example and its Reading line use.</t>
  </si>
  <si>
    <t xml:space="preserve">Without policy routing the 3,000 Rack requests a day, which touch Confidential or Restricted sources, would also depend on the detector.</t>
  </si>
  <si>
    <t xml:space="preserve">Prioritizing Risks for the Corporate Assistant (Worked Example 25.3)</t>
  </si>
  <si>
    <t xml:space="preserve">Risk</t>
  </si>
  <si>
    <t xml:space="preserve">Likelihood before (1–5)</t>
  </si>
  <si>
    <t xml:space="preserve">Impact before (1–5)</t>
  </si>
  <si>
    <t xml:space="preserve">Score before</t>
  </si>
  <si>
    <t xml:space="preserve">Control</t>
  </si>
  <si>
    <t xml:space="preserve">Likelihood after (1–5)</t>
  </si>
  <si>
    <t xml:space="preserve">Impact after (1–5)</t>
  </si>
  <si>
    <t xml:space="preserve">Residual score</t>
  </si>
  <si>
    <t xml:space="preserve">Reduction</t>
  </si>
  <si>
    <t xml:space="preserve">Residual rank</t>
  </si>
  <si>
    <t xml:space="preserve">Book: before</t>
  </si>
  <si>
    <t xml:space="preserve">Book: after</t>
  </si>
  <si>
    <t xml:space="preserve">Cross-user disclosure through retrieval</t>
  </si>
  <si>
    <t xml:space="preserve">Permission-aware retrieval with in-search filtering and user-scoped tokens</t>
  </si>
  <si>
    <t xml:space="preserve">Exfiltration through injected email</t>
  </si>
  <si>
    <t xml:space="preserve">Block external image rendering; approval for outbound mail</t>
  </si>
  <si>
    <t xml:space="preserve">Wrong answer from poisoned wiki page</t>
  </si>
  <si>
    <t xml:space="preserve">Source trust weighting, change monitoring, citations shown to users</t>
  </si>
  <si>
    <t xml:space="preserve">Cost runaway from agent loops</t>
  </si>
  <si>
    <t xml:space="preserve">Step and cost budgets</t>
  </si>
  <si>
    <t xml:space="preserve">Total</t>
  </si>
  <si>
    <t xml:space="preserve">Reading: the scoring is coarse, but it directs effort to the risks with the highest residual score and documents why controls were chosen — the evidence an AI management system or a regulator expects.</t>
  </si>
  <si>
    <t xml:space="preserve">Score = likelihood × impact, each on a 1–5 scale. Equal residual scores share a rank. Add rows above the Total row and extend the ranges to register more risks.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</si>
</sst>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%"/>
    <numFmt numFmtId="167" formatCode="0.0%"/>
    <numFmt numFmtId="168" formatCode="0.0"/>
    <numFmt numFmtId="169" formatCode="0.00"/>
    <numFmt numFmtId="170" formatCode="0"/>
    <numFmt numFmtId="171" formatCode="0.00%"/>
    <numFmt numFmtId="172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/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8" customFormat="false" ht="15" hidden="false" customHeight="false" outlineLevel="0" collapsed="false">
      <c r="A8" s="6" t="s">
        <v>11</v>
      </c>
    </row>
    <row r="9" customFormat="false" ht="15" hidden="false" customHeight="true" outlineLevel="0" collapsed="false">
      <c r="A9" s="7" t="s">
        <v>12</v>
      </c>
      <c r="B9" s="7"/>
      <c r="C9" s="7"/>
    </row>
    <row r="10" customFormat="false" ht="30" hidden="false" customHeight="true" outlineLevel="0" collapsed="false">
      <c r="A10" s="7" t="s">
        <v>13</v>
      </c>
      <c r="B10" s="7"/>
      <c r="C10" s="7"/>
    </row>
  </sheetData>
  <mergeCells count="3">
    <mergeCell ref="A2:C2"/>
    <mergeCell ref="A9:C9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14</v>
      </c>
    </row>
    <row r="3" customFormat="false" ht="15" hidden="false" customHeight="true" outlineLevel="0" collapsed="false">
      <c r="A3" s="9" t="s">
        <v>15</v>
      </c>
      <c r="B3" s="10" t="n">
        <v>10000</v>
      </c>
    </row>
    <row r="4" customFormat="false" ht="15" hidden="false" customHeight="true" outlineLevel="0" collapsed="false">
      <c r="A4" s="9" t="s">
        <v>16</v>
      </c>
      <c r="B4" s="11" t="n">
        <v>0.3</v>
      </c>
    </row>
    <row r="5" customFormat="false" ht="15" hidden="false" customHeight="true" outlineLevel="0" collapsed="false">
      <c r="A5" s="9" t="s">
        <v>17</v>
      </c>
      <c r="B5" s="11" t="n">
        <v>0.3</v>
      </c>
    </row>
    <row r="6" customFormat="false" ht="15" hidden="false" customHeight="true" outlineLevel="0" collapsed="false">
      <c r="A6" s="9" t="s">
        <v>18</v>
      </c>
      <c r="B6" s="12" t="n">
        <v>0.04</v>
      </c>
    </row>
    <row r="7" customFormat="false" ht="15" hidden="false" customHeight="true" outlineLevel="0" collapsed="false">
      <c r="A7" s="9" t="s">
        <v>19</v>
      </c>
      <c r="B7" s="12" t="n">
        <v>0.97</v>
      </c>
    </row>
    <row r="8" customFormat="false" ht="15" hidden="false" customHeight="true" outlineLevel="0" collapsed="false">
      <c r="A8" s="9" t="s">
        <v>20</v>
      </c>
      <c r="B8" s="12" t="n">
        <v>0.97</v>
      </c>
    </row>
    <row r="9" customFormat="false" ht="15" hidden="false" customHeight="true" outlineLevel="0" collapsed="false">
      <c r="A9" s="9" t="s">
        <v>21</v>
      </c>
      <c r="B9" s="13" t="n">
        <v>2</v>
      </c>
    </row>
    <row r="10" customFormat="false" ht="15" hidden="false" customHeight="true" outlineLevel="0" collapsed="false">
      <c r="A10" s="9" t="s">
        <v>22</v>
      </c>
      <c r="B10" s="14" t="n">
        <v>0.25</v>
      </c>
    </row>
    <row r="11" customFormat="false" ht="15" hidden="false" customHeight="true" outlineLevel="0" collapsed="false">
      <c r="A11" s="9" t="s">
        <v>23</v>
      </c>
      <c r="B11" s="15" t="n">
        <v>250</v>
      </c>
    </row>
    <row r="13" customFormat="false" ht="15" hidden="false" customHeight="true" outlineLevel="0" collapsed="false">
      <c r="A13" s="6" t="s">
        <v>24</v>
      </c>
    </row>
    <row r="14" customFormat="false" ht="15" hidden="false" customHeight="true" outlineLevel="0" collapsed="false">
      <c r="A14" s="16" t="s">
        <v>25</v>
      </c>
      <c r="B14" s="17" t="n">
        <f aca="false">B3*(1-B4)</f>
        <v>7000</v>
      </c>
    </row>
    <row r="15" customFormat="false" ht="15" hidden="false" customHeight="true" outlineLevel="0" collapsed="false">
      <c r="A15" s="18" t="s">
        <v>26</v>
      </c>
      <c r="B15" s="19" t="n">
        <v>7000</v>
      </c>
    </row>
    <row r="16" customFormat="false" ht="15" hidden="false" customHeight="true" outlineLevel="0" collapsed="false">
      <c r="A16" s="16" t="s">
        <v>27</v>
      </c>
      <c r="B16" s="17" t="n">
        <f aca="false">B3*B4</f>
        <v>3000</v>
      </c>
    </row>
    <row r="17" customFormat="false" ht="15" hidden="false" customHeight="true" outlineLevel="0" collapsed="false">
      <c r="A17" s="18" t="s">
        <v>26</v>
      </c>
      <c r="B17" s="19" t="n">
        <v>3000</v>
      </c>
    </row>
    <row r="18" customFormat="false" ht="15" hidden="false" customHeight="true" outlineLevel="0" collapsed="false">
      <c r="A18" s="16" t="s">
        <v>28</v>
      </c>
      <c r="B18" s="17" t="n">
        <f aca="false">B14*B6</f>
        <v>280</v>
      </c>
    </row>
    <row r="19" customFormat="false" ht="15" hidden="false" customHeight="true" outlineLevel="0" collapsed="false">
      <c r="A19" s="18" t="s">
        <v>26</v>
      </c>
      <c r="B19" s="19" t="n">
        <v>280</v>
      </c>
    </row>
    <row r="20" customFormat="false" ht="15" hidden="false" customHeight="true" outlineLevel="0" collapsed="false">
      <c r="A20" s="16" t="s">
        <v>29</v>
      </c>
      <c r="B20" s="20" t="n">
        <f aca="false">1-B7</f>
        <v>0.03</v>
      </c>
    </row>
    <row r="21" customFormat="false" ht="15" hidden="false" customHeight="true" outlineLevel="0" collapsed="false">
      <c r="A21" s="16" t="s">
        <v>30</v>
      </c>
      <c r="B21" s="21" t="n">
        <f aca="false">1-(1-B20)^B9</f>
        <v>0.0591</v>
      </c>
    </row>
    <row r="22" customFormat="false" ht="15" hidden="false" customHeight="true" outlineLevel="0" collapsed="false">
      <c r="A22" s="18" t="s">
        <v>26</v>
      </c>
      <c r="B22" s="22" t="n">
        <v>0.059</v>
      </c>
    </row>
    <row r="23" customFormat="false" ht="15" hidden="false" customHeight="true" outlineLevel="0" collapsed="false">
      <c r="A23" s="16" t="s">
        <v>31</v>
      </c>
      <c r="B23" s="23" t="n">
        <f aca="false">B18*B21</f>
        <v>16.548</v>
      </c>
    </row>
    <row r="24" customFormat="false" ht="15" hidden="false" customHeight="true" outlineLevel="0" collapsed="false">
      <c r="A24" s="18" t="s">
        <v>26</v>
      </c>
      <c r="B24" s="24" t="n">
        <v>16.5</v>
      </c>
    </row>
    <row r="25" customFormat="false" ht="15" hidden="false" customHeight="true" outlineLevel="0" collapsed="false">
      <c r="A25" s="16" t="s">
        <v>32</v>
      </c>
      <c r="B25" s="17" t="n">
        <f aca="false">B23*B11</f>
        <v>4137</v>
      </c>
    </row>
    <row r="26" customFormat="false" ht="15" hidden="false" customHeight="true" outlineLevel="0" collapsed="false">
      <c r="A26" s="18" t="s">
        <v>33</v>
      </c>
      <c r="B26" s="19" t="n">
        <v>4100</v>
      </c>
    </row>
    <row r="27" customFormat="false" ht="15" hidden="false" customHeight="true" outlineLevel="0" collapsed="false">
      <c r="A27" s="18" t="s">
        <v>34</v>
      </c>
      <c r="B27" s="19" t="n">
        <v>4100</v>
      </c>
    </row>
    <row r="28" customFormat="false" ht="15" hidden="false" customHeight="true" outlineLevel="0" collapsed="false">
      <c r="A28" s="16" t="s">
        <v>35</v>
      </c>
      <c r="B28" s="20" t="n">
        <f aca="false">1-B8</f>
        <v>0.03</v>
      </c>
    </row>
    <row r="29" customFormat="false" ht="15" hidden="false" customHeight="true" outlineLevel="0" collapsed="false">
      <c r="A29" s="16" t="s">
        <v>36</v>
      </c>
      <c r="B29" s="25" t="n">
        <f aca="false">B20*B28</f>
        <v>0.000900000000000002</v>
      </c>
    </row>
    <row r="30" customFormat="false" ht="15" hidden="false" customHeight="true" outlineLevel="0" collapsed="false">
      <c r="A30" s="18" t="s">
        <v>26</v>
      </c>
      <c r="B30" s="26" t="n">
        <v>0.0009</v>
      </c>
    </row>
    <row r="31" customFormat="false" ht="15" hidden="false" customHeight="true" outlineLevel="0" collapsed="false">
      <c r="A31" s="16" t="s">
        <v>37</v>
      </c>
      <c r="B31" s="21" t="n">
        <f aca="false">1-(1-B29)^B9</f>
        <v>0.00179919000000006</v>
      </c>
    </row>
    <row r="32" customFormat="false" ht="15" hidden="false" customHeight="true" outlineLevel="0" collapsed="false">
      <c r="A32" s="18" t="s">
        <v>26</v>
      </c>
      <c r="B32" s="27" t="n">
        <v>0.0018</v>
      </c>
    </row>
    <row r="33" customFormat="false" ht="15" hidden="false" customHeight="true" outlineLevel="0" collapsed="false">
      <c r="A33" s="16" t="s">
        <v>38</v>
      </c>
      <c r="B33" s="23" t="n">
        <f aca="false">B18*B31</f>
        <v>0.503773200000017</v>
      </c>
    </row>
    <row r="34" customFormat="false" ht="15" hidden="false" customHeight="true" outlineLevel="0" collapsed="false">
      <c r="A34" s="18" t="s">
        <v>26</v>
      </c>
      <c r="B34" s="24" t="n">
        <v>0.5</v>
      </c>
    </row>
    <row r="35" customFormat="false" ht="15" hidden="false" customHeight="true" outlineLevel="0" collapsed="false">
      <c r="A35" s="16" t="s">
        <v>39</v>
      </c>
      <c r="B35" s="17" t="n">
        <f aca="false">B33*B11</f>
        <v>125.943300000004</v>
      </c>
    </row>
    <row r="36" customFormat="false" ht="15" hidden="false" customHeight="true" outlineLevel="0" collapsed="false">
      <c r="A36" s="18" t="s">
        <v>26</v>
      </c>
      <c r="B36" s="19" t="n">
        <v>126</v>
      </c>
    </row>
    <row r="37" customFormat="false" ht="15" hidden="false" customHeight="true" outlineLevel="0" collapsed="false">
      <c r="A37" s="16" t="s">
        <v>40</v>
      </c>
      <c r="B37" s="25" t="n">
        <f aca="false">MIN(B20,B28,MAX(0,B20+B28-1,B20*B28+B10*SQRT(B20*(1-B20)*B28*(1-B28))))</f>
        <v>0.00817500000000001</v>
      </c>
    </row>
    <row r="38" customFormat="false" ht="15" hidden="false" customHeight="true" outlineLevel="0" collapsed="false">
      <c r="A38" s="16" t="s">
        <v>41</v>
      </c>
      <c r="B38" s="16" t="str">
        <f aca="false">IF(AND(B20*B28+B10*SQRT(B20*(1-B20)*B28*(1-B28))&gt;=MAX(0,B20+B28-1),B20*B28+B10*SQRT(B20*(1-B20)*B28*(1-B28))&lt;=MIN(B20,B28)),"OK","clamped: ρ outside the feasible range")</f>
        <v>OK</v>
      </c>
    </row>
    <row r="39" customFormat="false" ht="15" hidden="false" customHeight="true" outlineLevel="0" collapsed="false">
      <c r="A39" s="16" t="s">
        <v>42</v>
      </c>
      <c r="B39" s="21" t="n">
        <f aca="false">1-(1-B37)^B9</f>
        <v>0.0162831693750001</v>
      </c>
    </row>
    <row r="40" customFormat="false" ht="15" hidden="false" customHeight="true" outlineLevel="0" collapsed="false">
      <c r="A40" s="16" t="s">
        <v>43</v>
      </c>
      <c r="B40" s="17" t="n">
        <f aca="false">B18*B39*B11</f>
        <v>1139.82185625001</v>
      </c>
    </row>
    <row r="41" customFormat="false" ht="15" hidden="false" customHeight="true" outlineLevel="0" collapsed="false">
      <c r="A41" s="18" t="s">
        <v>26</v>
      </c>
      <c r="B41" s="19" t="n">
        <v>1140</v>
      </c>
    </row>
    <row r="43" customFormat="false" ht="15" hidden="false" customHeight="true" outlineLevel="0" collapsed="false">
      <c r="A43" s="6" t="s">
        <v>44</v>
      </c>
    </row>
    <row r="44" customFormat="false" ht="15" hidden="false" customHeight="true" outlineLevel="0" collapsed="false">
      <c r="A44" s="16" t="s">
        <v>25</v>
      </c>
      <c r="B44" s="17" t="n">
        <f aca="false">B14*B5</f>
        <v>2100</v>
      </c>
    </row>
    <row r="45" customFormat="false" ht="15" hidden="false" customHeight="true" outlineLevel="0" collapsed="false">
      <c r="A45" s="18" t="s">
        <v>26</v>
      </c>
      <c r="B45" s="19" t="n">
        <v>2100</v>
      </c>
    </row>
    <row r="46" customFormat="false" ht="15" hidden="false" customHeight="true" outlineLevel="0" collapsed="false">
      <c r="A46" s="16" t="s">
        <v>31</v>
      </c>
      <c r="B46" s="23" t="n">
        <f aca="false">B44*B6*B21</f>
        <v>4.9644</v>
      </c>
    </row>
    <row r="47" customFormat="false" ht="15" hidden="false" customHeight="true" outlineLevel="0" collapsed="false">
      <c r="A47" s="18" t="s">
        <v>45</v>
      </c>
      <c r="B47" s="28" t="n">
        <v>5</v>
      </c>
    </row>
    <row r="48" customFormat="false" ht="15" hidden="false" customHeight="true" outlineLevel="0" collapsed="false">
      <c r="A48" s="16" t="s">
        <v>32</v>
      </c>
      <c r="B48" s="17" t="n">
        <f aca="false">B46*B11</f>
        <v>1241.1</v>
      </c>
    </row>
    <row r="49" customFormat="false" ht="15" hidden="false" customHeight="true" outlineLevel="0" collapsed="false">
      <c r="A49" s="18" t="s">
        <v>26</v>
      </c>
      <c r="B49" s="19" t="n">
        <v>1240</v>
      </c>
    </row>
    <row r="50" customFormat="false" ht="15" hidden="false" customHeight="true" outlineLevel="0" collapsed="false">
      <c r="A50" s="16" t="s">
        <v>39</v>
      </c>
      <c r="B50" s="17" t="n">
        <f aca="false">B44*B6*B31*B11</f>
        <v>37.7829900000013</v>
      </c>
    </row>
    <row r="52" customFormat="false" ht="15" hidden="false" customHeight="true" outlineLevel="0" collapsed="false">
      <c r="A52" s="29" t="s">
        <v>46</v>
      </c>
    </row>
    <row r="53" customFormat="false" ht="15" hidden="false" customHeight="true" outlineLevel="0" collapsed="false">
      <c r="A53" s="29" t="s">
        <v>47</v>
      </c>
    </row>
    <row r="54" customFormat="false" ht="15" hidden="false" customHeight="true" outlineLevel="0" collapsed="false">
      <c r="A54" s="29" t="s">
        <v>48</v>
      </c>
    </row>
    <row r="55" customFormat="false" ht="15" hidden="false" customHeight="true" outlineLevel="0" collapsed="false">
      <c r="A55" s="2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4" min="3" style="0" width="9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2" min="10" style="0" width="10"/>
  </cols>
  <sheetData>
    <row r="1" customFormat="false" ht="15.75" hidden="false" customHeight="true" outlineLevel="0" collapsed="false">
      <c r="A1" s="8" t="s">
        <v>50</v>
      </c>
    </row>
    <row r="3" customFormat="false" ht="30" hidden="false" customHeight="true" outlineLevel="0" collapsed="false">
      <c r="A3" s="30" t="s">
        <v>51</v>
      </c>
      <c r="B3" s="30" t="s">
        <v>52</v>
      </c>
      <c r="C3" s="30" t="s">
        <v>53</v>
      </c>
      <c r="D3" s="30" t="s">
        <v>54</v>
      </c>
      <c r="E3" s="30" t="s">
        <v>55</v>
      </c>
      <c r="F3" s="30" t="s">
        <v>56</v>
      </c>
      <c r="G3" s="30" t="s">
        <v>57</v>
      </c>
      <c r="H3" s="30" t="s">
        <v>58</v>
      </c>
      <c r="I3" s="30" t="s">
        <v>59</v>
      </c>
      <c r="J3" s="30" t="s">
        <v>60</v>
      </c>
      <c r="K3" s="30" t="s">
        <v>61</v>
      </c>
      <c r="L3" s="30" t="s">
        <v>62</v>
      </c>
    </row>
    <row r="4" customFormat="false" ht="30" hidden="false" customHeight="true" outlineLevel="0" collapsed="false">
      <c r="A4" s="31" t="s">
        <v>63</v>
      </c>
      <c r="B4" s="15" t="n">
        <v>4</v>
      </c>
      <c r="C4" s="15" t="n">
        <v>5</v>
      </c>
      <c r="D4" s="32" t="n">
        <f aca="false">B4*C4</f>
        <v>20</v>
      </c>
      <c r="E4" s="31" t="s">
        <v>64</v>
      </c>
      <c r="F4" s="15" t="n">
        <v>1</v>
      </c>
      <c r="G4" s="15" t="n">
        <v>5</v>
      </c>
      <c r="H4" s="32" t="n">
        <f aca="false">F4*G4</f>
        <v>5</v>
      </c>
      <c r="I4" s="33" t="n">
        <f aca="false">1-H4/D4</f>
        <v>0.75</v>
      </c>
      <c r="J4" s="34" t="n">
        <f aca="false">RANK(H4,$H$4:$H$7)</f>
        <v>2</v>
      </c>
      <c r="K4" s="28" t="n">
        <v>20</v>
      </c>
      <c r="L4" s="28" t="n">
        <v>5</v>
      </c>
    </row>
    <row r="5" customFormat="false" ht="30" hidden="false" customHeight="true" outlineLevel="0" collapsed="false">
      <c r="A5" s="31" t="s">
        <v>65</v>
      </c>
      <c r="B5" s="15" t="n">
        <v>3</v>
      </c>
      <c r="C5" s="15" t="n">
        <v>5</v>
      </c>
      <c r="D5" s="32" t="n">
        <f aca="false">B5*C5</f>
        <v>15</v>
      </c>
      <c r="E5" s="31" t="s">
        <v>66</v>
      </c>
      <c r="F5" s="15" t="n">
        <v>1</v>
      </c>
      <c r="G5" s="15" t="n">
        <v>5</v>
      </c>
      <c r="H5" s="32" t="n">
        <f aca="false">F5*G5</f>
        <v>5</v>
      </c>
      <c r="I5" s="33" t="n">
        <f aca="false">1-H5/D5</f>
        <v>0.666666666666667</v>
      </c>
      <c r="J5" s="34" t="n">
        <f aca="false">RANK(H5,$H$4:$H$7)</f>
        <v>2</v>
      </c>
      <c r="K5" s="28" t="n">
        <v>15</v>
      </c>
      <c r="L5" s="28" t="n">
        <v>5</v>
      </c>
    </row>
    <row r="6" customFormat="false" ht="30" hidden="false" customHeight="true" outlineLevel="0" collapsed="false">
      <c r="A6" s="31" t="s">
        <v>67</v>
      </c>
      <c r="B6" s="15" t="n">
        <v>3</v>
      </c>
      <c r="C6" s="15" t="n">
        <v>3</v>
      </c>
      <c r="D6" s="32" t="n">
        <f aca="false">B6*C6</f>
        <v>9</v>
      </c>
      <c r="E6" s="31" t="s">
        <v>68</v>
      </c>
      <c r="F6" s="15" t="n">
        <v>2</v>
      </c>
      <c r="G6" s="15" t="n">
        <v>3</v>
      </c>
      <c r="H6" s="32" t="n">
        <f aca="false">F6*G6</f>
        <v>6</v>
      </c>
      <c r="I6" s="33" t="n">
        <f aca="false">1-H6/D6</f>
        <v>0.333333333333333</v>
      </c>
      <c r="J6" s="34" t="n">
        <f aca="false">RANK(H6,$H$4:$H$7)</f>
        <v>1</v>
      </c>
      <c r="K6" s="28" t="n">
        <v>9</v>
      </c>
      <c r="L6" s="28" t="n">
        <v>6</v>
      </c>
    </row>
    <row r="7" customFormat="false" ht="30" hidden="false" customHeight="true" outlineLevel="0" collapsed="false">
      <c r="A7" s="31" t="s">
        <v>69</v>
      </c>
      <c r="B7" s="15" t="n">
        <v>3</v>
      </c>
      <c r="C7" s="15" t="n">
        <v>2</v>
      </c>
      <c r="D7" s="32" t="n">
        <f aca="false">B7*C7</f>
        <v>6</v>
      </c>
      <c r="E7" s="31" t="s">
        <v>70</v>
      </c>
      <c r="F7" s="15" t="n">
        <v>1</v>
      </c>
      <c r="G7" s="15" t="n">
        <v>2</v>
      </c>
      <c r="H7" s="32" t="n">
        <f aca="false">F7*G7</f>
        <v>2</v>
      </c>
      <c r="I7" s="33" t="n">
        <f aca="false">1-H7/D7</f>
        <v>0.666666666666667</v>
      </c>
      <c r="J7" s="34" t="n">
        <f aca="false">RANK(H7,$H$4:$H$7)</f>
        <v>4</v>
      </c>
      <c r="K7" s="28" t="n">
        <v>6</v>
      </c>
      <c r="L7" s="28" t="n">
        <v>2</v>
      </c>
    </row>
    <row r="8" customFormat="false" ht="15" hidden="false" customHeight="false" outlineLevel="0" collapsed="false">
      <c r="A8" s="16" t="s">
        <v>71</v>
      </c>
      <c r="D8" s="32" t="n">
        <f aca="false">SUM(D4:D7)</f>
        <v>50</v>
      </c>
      <c r="H8" s="32" t="n">
        <f aca="false">SUM(H4:H7)</f>
        <v>18</v>
      </c>
      <c r="I8" s="33" t="n">
        <f aca="false">1-H8/D8</f>
        <v>0.64</v>
      </c>
    </row>
    <row r="10" customFormat="false" ht="15" hidden="false" customHeight="true" outlineLevel="0" collapsed="false">
      <c r="A10" s="29" t="s">
        <v>72</v>
      </c>
    </row>
    <row r="11" customFormat="false" ht="15" hidden="false" customHeight="true" outlineLevel="0" collapsed="false">
      <c r="A11" s="29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2026-10-26T16:02:56Z</dcterms:created>
  <dc:creator>openpyxl</dc:creator>
  <dc:description/>
  <dc:language>en-US</dc:language>
  <cp:lastModifiedBy/>
  <dcterms:modified xsi:type="dcterms:W3CDTF">2026-10-26T16:02:56Z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