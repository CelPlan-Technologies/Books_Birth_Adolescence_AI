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imilarity" sheetId="2" state="visible" r:id="rId4"/>
    <sheet name="Word Vectors" sheetId="3" state="visible" r:id="rId5"/>
    <sheet name="BM25" sheetId="4" state="visible" r:id="rId6"/>
    <sheet name="Multi-Vector" sheetId="5" state="visible" r:id="rId7"/>
    <sheet name="Compression" sheetId="6" state="visible" r:id="rId8"/>
    <sheet name="Reranking Cost" sheetId="7" state="visible" r:id="rId9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<sst xmlns="http://schemas.openxmlformats.org/spreadsheetml/2006/main" count="211" uniqueCount="157">
  <si>
    <t xml:space="preserve">Chapter 18 — Embeddings I: Types and Architectures</t>
  </si>
  <si>
    <t xml:space="preserve">Companion workbook of The Birth and Adolescence of Artificial Intelligence, Volume 2,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</si>
  <si>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</si>
  <si>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</si>
  <si>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</si>
  <si>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Similarity</t>
  </si>
  <si>
    <t xml:space="preserve">Dot product, cosine and Euclidean distance for a query and two passages, and the ranking each gives.</t>
  </si>
  <si>
    <t xml:space="preserve">Section 18.1, Worked Example 18.1</t>
  </si>
  <si>
    <t xml:space="preserve">Word Vectors</t>
  </si>
  <si>
    <t xml:space="preserve">Parameters, storage and training pairs of a skip-gram word-vector model.</t>
  </si>
  <si>
    <t xml:space="preserve">Section 18.2, Worked Example 18.2</t>
  </si>
  <si>
    <t xml:space="preserve">BM25</t>
  </si>
  <si>
    <t xml:space="preserve">IDF, length normalization, saturated term frequency and BM25 scores of two chunks.</t>
  </si>
  <si>
    <t xml:space="preserve">Section 18.6, Worked Example 18.3</t>
  </si>
  <si>
    <t xml:space="preserve">Multi-Vector</t>
  </si>
  <si>
    <t xml:space="preserve">Index size of single-vector, multi-vector (uncompressed and ColBERTv2-style) and visual-page embeddings.</t>
  </si>
  <si>
    <t xml:space="preserve">Section 18.7, Worked Example 18.4</t>
  </si>
  <si>
    <t xml:space="preserve">Compression</t>
  </si>
  <si>
    <t xml:space="preserve">Memory for 10 million vectors at full precision, int8, Matryoshka prefix, binary and combined.</t>
  </si>
  <si>
    <t xml:space="preserve">Section 18.8, Worked Example 18.5</t>
  </si>
  <si>
    <t xml:space="preserve">Reranking Cost</t>
  </si>
  <si>
    <t xml:space="preserve">Cross-encoder FLOPs and time over a whole collection against a top-50 rerank; query embedding cost.</t>
  </si>
  <si>
    <t xml:space="preserve">Section 18.13, Worked Example 18.6</t>
  </si>
  <si>
    <t xml:space="preserve">Notes</t>
  </si>
  <si>
    <t xml:space="preserve">Units are decimal (1 GB = 10^9 bytes; 1 KB = 1,000 bytes).</t>
  </si>
  <si>
    <t xml:space="preserve">Rows labeled "Value in the book" show the number printed in the worked example, for comparison.</t>
  </si>
  <si>
    <t xml:space="preserve">The 670,000-chunk corpus is that of Worked Example 17.2 (Ch17_Companion_Workbook.xlsx, Chunking sheet).</t>
  </si>
  <si>
    <t xml:space="preserve">Cosine, Dot Product and Distance (Worked Example 18.1)</t>
  </si>
  <si>
    <t xml:space="preserve">Vector component</t>
  </si>
  <si>
    <t xml:space="preserve">Query q</t>
  </si>
  <si>
    <t xml:space="preserve">Passage p₁</t>
  </si>
  <si>
    <t xml:space="preserve">Passage p₂</t>
  </si>
  <si>
    <t xml:space="preserve">Component 1</t>
  </si>
  <si>
    <t xml:space="preserve">Component 2</t>
  </si>
  <si>
    <t xml:space="preserve">Component 3</t>
  </si>
  <si>
    <t xml:space="preserve">Result</t>
  </si>
  <si>
    <t xml:space="preserve">Sum of squares</t>
  </si>
  <si>
    <t xml:space="preserve">Value in the book</t>
  </si>
  <si>
    <t xml:space="preserve">Length ‖v‖</t>
  </si>
  <si>
    <t xml:space="preserve">Dot product with q</t>
  </si>
  <si>
    <t xml:space="preserve">Cosine with q</t>
  </si>
  <si>
    <t xml:space="preserve">Distance to q after normalization, √(2 − 2 cos θ)</t>
  </si>
  <si>
    <t xml:space="preserve">Normalized component 1</t>
  </si>
  <si>
    <t xml:space="preserve">Normalized component 2</t>
  </si>
  <si>
    <t xml:space="preserve">Normalized component 3</t>
  </si>
  <si>
    <t xml:space="preserve">Distance to q from the normalized vectors (check)</t>
  </si>
  <si>
    <t xml:space="preserve">Distance to q without normalization</t>
  </si>
  <si>
    <t xml:space="preserve">Ranking</t>
  </si>
  <si>
    <t xml:space="preserve">First</t>
  </si>
  <si>
    <t xml:space="preserve">By dot product</t>
  </si>
  <si>
    <t xml:space="preserve">By cosine</t>
  </si>
  <si>
    <t xml:space="preserve">Reading: if a model trained for cosine similarity is searched with the raw dot product on unnormalized vectors, passages with long vectors win for the wrong reason. Normalize at indexing time.</t>
  </si>
  <si>
    <t xml:space="preserve">For unit vectors ‖a − b‖² = 2 − 2 cos θ, so dot product, cosine and distance rank neighbors identically.</t>
  </si>
  <si>
    <t xml:space="preserve">The Size of a Word-Vector Model (Worked Example 18.2)</t>
  </si>
  <si>
    <t xml:space="preserve">Vocabulary (words)</t>
  </si>
  <si>
    <t xml:space="preserve">Dimensions</t>
  </si>
  <si>
    <t xml:space="preserve">Bytes per value (FP32)</t>
  </si>
  <si>
    <t xml:space="preserve">Window (words on each side)</t>
  </si>
  <si>
    <t xml:space="preserve">Training corpus (words)</t>
  </si>
  <si>
    <t xml:space="preserve">Workbook</t>
  </si>
  <si>
    <t xml:space="preserve">Parameters per matrix (millions)</t>
  </si>
  <si>
    <t xml:space="preserve">Parameters, input and output matrices (millions)</t>
  </si>
  <si>
    <t xml:space="preserve">Embedding storage, input vectors (MB)</t>
  </si>
  <si>
    <t xml:space="preserve">Training pairs per word occurrence, at most</t>
  </si>
  <si>
    <t xml:space="preserve">Training pairs, at most (billions)</t>
  </si>
  <si>
    <t xml:space="preserve">Reading: a static embedding model is a lookup table — microseconds per word on any CPU. Its weakness is meaning: one vector per word, whatever the context.</t>
  </si>
  <si>
    <t xml:space="preserve">Scoring Two Chunks with BM25 (Worked Example 18.3)</t>
  </si>
  <si>
    <t xml:space="preserve">Chunks in the collection, N</t>
  </si>
  <si>
    <t xml:space="preserve">Average chunk length (tokens)</t>
  </si>
  <si>
    <t xml:space="preserve">k₁</t>
  </si>
  <si>
    <t xml:space="preserve">b</t>
  </si>
  <si>
    <t xml:space="preserve">Query term</t>
  </si>
  <si>
    <t xml:space="preserve">terminal</t>
  </si>
  <si>
    <t xml:space="preserve">J1</t>
  </si>
  <si>
    <t xml:space="preserve">Chunks containing the term, n</t>
  </si>
  <si>
    <t xml:space="preserve">IDF = ln(1 + (N − n + 0.5) ÷ (n + 0.5)) — Lucene form</t>
  </si>
  <si>
    <t xml:space="preserve">IDF = ln((N − n + 0.5) ÷ (n + 0.5)) — Robertson's original</t>
  </si>
  <si>
    <t xml:space="preserve">Chunk</t>
  </si>
  <si>
    <t xml:space="preserve">Chunk A</t>
  </si>
  <si>
    <t xml:space="preserve">Chunk B</t>
  </si>
  <si>
    <t xml:space="preserve">Length (tokens)</t>
  </si>
  <si>
    <t xml:space="preserve">Occurrences of terminal</t>
  </si>
  <si>
    <t xml:space="preserve">Occurrences of J1</t>
  </si>
  <si>
    <t xml:space="preserve">Length factor K = k₁ × (1 − b + b × length ÷ average)</t>
  </si>
  <si>
    <t xml:space="preserve">Term score, terminal: tf × (k₁ + 1) ÷ (tf + K)</t>
  </si>
  <si>
    <t xml:space="preserve">Term score, J1</t>
  </si>
  <si>
    <t xml:space="preserve">BM25 score (Lucene IDF)</t>
  </si>
  <si>
    <t xml:space="preserve">BM25 score (Robertson IDF)</t>
  </si>
  <si>
    <t xml:space="preserve">Saturation</t>
  </si>
  <si>
    <t xml:space="preserve">Fewer occurrences</t>
  </si>
  <si>
    <t xml:space="preserve">More occurrences</t>
  </si>
  <si>
    <t xml:space="preserve">Score ratio at chunk A's length</t>
  </si>
  <si>
    <t xml:space="preserve">Score ratio at the average length (K = k₁)</t>
  </si>
  <si>
    <t xml:space="preserve">Reading: the rare identifier J1 outweighs repeated occurrences of the common word, and term frequency saturates. A dense model may blur J1 with J2; BM25 never does.</t>
  </si>
  <si>
    <t xml:space="preserve">N and n here are the usual BM25 symbols, not the N and n of Table P.2. The Lucene form (1 + inside the logarithm) is used by Lucene, Elasticsearch and OpenSearch.</t>
  </si>
  <si>
    <t xml:space="preserve">The Price of One Vector per Token (Worked Example 18.4)</t>
  </si>
  <si>
    <t xml:space="preserve">Chunks (Worked Example 17.2)</t>
  </si>
  <si>
    <t xml:space="preserve">Tokens per chunk</t>
  </si>
  <si>
    <t xml:space="preserve">Single-vector dimensions</t>
  </si>
  <si>
    <t xml:space="preserve">Single-vector bytes per dimension (FP32)</t>
  </si>
  <si>
    <t xml:space="preserve">Token-vector dimensions</t>
  </si>
  <si>
    <t xml:space="preserve">Token-vector bytes per dimension (BF16)</t>
  </si>
  <si>
    <t xml:space="preserve">Compressed bits per dimension (ColBERTv2-style)</t>
  </si>
  <si>
    <t xml:space="preserve">Centroid identifier (bytes)</t>
  </si>
  <si>
    <t xml:space="preserve">Patch vectors per page image</t>
  </si>
  <si>
    <t xml:space="preserve">Pages (visual index)</t>
  </si>
  <si>
    <t xml:space="preserve">Single vector per chunk (bytes)</t>
  </si>
  <si>
    <t xml:space="preserve">Single vectors, total (GB)</t>
  </si>
  <si>
    <t xml:space="preserve">Multi-vector, uncompressed, per chunk (KB)</t>
  </si>
  <si>
    <t xml:space="preserve">Multi-vector ÷ FP32 single vector</t>
  </si>
  <si>
    <t xml:space="preserve">Multi-vector ÷ single vector at equal precision (FP32)</t>
  </si>
  <si>
    <t xml:space="preserve">Multi-vector, uncompressed, total (GB)</t>
  </si>
  <si>
    <t xml:space="preserve">Compressed bytes per token</t>
  </si>
  <si>
    <t xml:space="preserve">Compressed per chunk (KB)</t>
  </si>
  <si>
    <t xml:space="preserve">Compressed, total (GB)</t>
  </si>
  <si>
    <t xml:space="preserve">Compressed ÷ FP32 single vector</t>
  </si>
  <si>
    <t xml:space="preserve">Visual page, before compression (KB)</t>
  </si>
  <si>
    <t xml:space="preserve">Visual pages, total (GB)</t>
  </si>
  <si>
    <t xml:space="preserve">Reading: late interaction multiplies index size by roughly 4.5 (compressed) to 32 (uncompressed BF16) relative to an FP32 single vector; as a reranker over a shortlist it needs no multi-vector index at all.</t>
  </si>
  <si>
    <t xml:space="preserve">The book's "4 KB per chunk" is 4,096 bytes.</t>
  </si>
  <si>
    <t xml:space="preserve">Ten Million Chunks in Memory (Worked Example 18.5)</t>
  </si>
  <si>
    <t xml:space="preserve">Vectors (chunks)</t>
  </si>
  <si>
    <t xml:space="preserve">Dimensions (Matryoshka model)</t>
  </si>
  <si>
    <t xml:space="preserve">Matryoshka prefix (dimensions)</t>
  </si>
  <si>
    <t xml:space="preserve">Bytes per dimension, FP32</t>
  </si>
  <si>
    <t xml:space="preserve">Bytes per dimension, int8</t>
  </si>
  <si>
    <t xml:space="preserve">Bits per dimension, binary</t>
  </si>
  <si>
    <t xml:space="preserve">Memory (GB)</t>
  </si>
  <si>
    <t xml:space="preserve">Times smaller than FP32</t>
  </si>
  <si>
    <t xml:space="preserve">Full precision, FP32</t>
  </si>
  <si>
    <t xml:space="preserve">int8</t>
  </si>
  <si>
    <t xml:space="preserve">MRL prefix, FP32</t>
  </si>
  <si>
    <t xml:space="preserve">Binary</t>
  </si>
  <si>
    <t xml:space="preserve">MRL prefix + binary</t>
  </si>
  <si>
    <t xml:space="preserve">Retrieval quality reported by Hugging Face (Shakir et al., 2024): int8 about 99% with rescoring; binary about 92.5% alone and about 96% with full-precision rescoring. The loss of an MRL prefix depends on the model and must be measured.</t>
  </si>
  <si>
    <t xml:space="preserve">Reading: compact vectors in memory and full vectors on SSD for rescoring fit a corporate-scale index in a Box-class machine — a statement about capacity; Corporate collections still belong on the Rack.</t>
  </si>
  <si>
    <t xml:space="preserve">Why Cross-Encoders Only Rerank (Worked Example 18.6)</t>
  </si>
  <si>
    <t xml:space="preserve">Model parameters (billions)</t>
  </si>
  <si>
    <t xml:space="preserve">Tokens per query–passage pair</t>
  </si>
  <si>
    <t xml:space="preserve">Effective compute, workstation GPU, BF16 (TFLOP/s)</t>
  </si>
  <si>
    <t xml:space="preserve">Chunks in the collection (Worked Example 17.2)</t>
  </si>
  <si>
    <t xml:space="preserve">Query tokens</t>
  </si>
  <si>
    <t xml:space="preserve">Bytes per parameter (BF16)</t>
  </si>
  <si>
    <t xml:space="preserve">GPU memory bandwidth (GB/s; RTX PRO 4000 Blackwell, Chapter 20, Worked Example 20.3)</t>
  </si>
  <si>
    <t xml:space="preserve">Candidates reranked</t>
  </si>
  <si>
    <t xml:space="preserve">FLOPs per pair (2 × parameters × tokens)</t>
  </si>
  <si>
    <t xml:space="preserve">Whole collection, FLOPs per query</t>
  </si>
  <si>
    <t xml:space="preserve">Whole collection, time per query (hours)</t>
  </si>
  <si>
    <t xml:space="preserve">Query embedding, FLOPs</t>
  </si>
  <si>
    <t xml:space="preserve">Query embedding, compute time (ms)</t>
  </si>
  <si>
    <t xml:space="preserve">Weights read per query at batch 1 (GB)</t>
  </si>
  <si>
    <t xml:space="preserve">Weight-read time (ms; the book says "about a millisecond")</t>
  </si>
  <si>
    <t xml:space="preserve">Rerank, FLOPs</t>
  </si>
  <si>
    <t xml:space="preserve">Rerank time (s)</t>
  </si>
  <si>
    <t xml:space="preserve">Whole collection ÷ rerank time</t>
  </si>
  <si>
    <t xml:space="preserve">Reading: the bi-encoder narrows 670,000 candidates to fifty; the cross-encoder orders the fifty precisely (Section 20.4).</t>
  </si>
  <si>
    <t xml:space="preserve">Weight-read time counts all 1.2 GB of BF16 weights; Worked Example 20.3 excludes the embedding table (about 0.9 GB, 1.3 ms). Search of the index itself takes milliseconds and is not modeled here.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</si>
</sst>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000"/>
    <numFmt numFmtId="167" formatCode="0.000"/>
    <numFmt numFmtId="168" formatCode="#,##0"/>
    <numFmt numFmtId="169" formatCode="0"/>
    <numFmt numFmtId="170" formatCode="0.0"/>
    <numFmt numFmtId="171" formatCode="0.0E+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30" hidden="false" customHeight="true" outlineLevel="0" collapsed="false">
      <c r="A5" s="4" t="s">
        <v>5</v>
      </c>
      <c r="B5" s="5" t="s">
        <v>6</v>
      </c>
      <c r="C5" s="5" t="s">
        <v>7</v>
      </c>
    </row>
    <row r="6" customFormat="false" ht="15" hidden="false" customHeight="true" outlineLevel="0" collapsed="false">
      <c r="A6" s="4" t="s">
        <v>8</v>
      </c>
      <c r="B6" s="5" t="s">
        <v>9</v>
      </c>
      <c r="C6" s="5" t="s">
        <v>10</v>
      </c>
    </row>
    <row r="7" customFormat="false" ht="30" hidden="false" customHeight="true" outlineLevel="0" collapsed="false">
      <c r="A7" s="4" t="s">
        <v>11</v>
      </c>
      <c r="B7" s="5" t="s">
        <v>12</v>
      </c>
      <c r="C7" s="5" t="s">
        <v>13</v>
      </c>
    </row>
    <row r="8" customFormat="false" ht="30" hidden="false" customHeight="true" outlineLevel="0" collapsed="false">
      <c r="A8" s="4" t="s">
        <v>14</v>
      </c>
      <c r="B8" s="5" t="s">
        <v>15</v>
      </c>
      <c r="C8" s="5" t="s">
        <v>16</v>
      </c>
    </row>
    <row r="9" customFormat="false" ht="30" hidden="false" customHeight="true" outlineLevel="0" collapsed="false">
      <c r="A9" s="4" t="s">
        <v>17</v>
      </c>
      <c r="B9" s="5" t="s">
        <v>18</v>
      </c>
      <c r="C9" s="5" t="s">
        <v>19</v>
      </c>
    </row>
    <row r="10" customFormat="false" ht="30" hidden="false" customHeight="true" outlineLevel="0" collapsed="false">
      <c r="A10" s="4" t="s">
        <v>20</v>
      </c>
      <c r="B10" s="5" t="s">
        <v>21</v>
      </c>
      <c r="C10" s="5" t="s">
        <v>22</v>
      </c>
    </row>
    <row r="12" customFormat="false" ht="15" hidden="false" customHeight="false" outlineLevel="0" collapsed="false">
      <c r="A12" s="4" t="s">
        <v>23</v>
      </c>
    </row>
    <row r="13" customFormat="false" ht="15" hidden="false" customHeight="true" outlineLevel="0" collapsed="false">
      <c r="A13" s="6" t="s">
        <v>24</v>
      </c>
      <c r="B13" s="6"/>
      <c r="C13" s="6"/>
    </row>
    <row r="14" customFormat="false" ht="15" hidden="false" customHeight="true" outlineLevel="0" collapsed="false">
      <c r="A14" s="6" t="s">
        <v>25</v>
      </c>
      <c r="B14" s="6"/>
      <c r="C14" s="6"/>
    </row>
    <row r="15" customFormat="false" ht="15" hidden="false" customHeight="true" outlineLevel="0" collapsed="false">
      <c r="A15" s="6" t="s">
        <v>26</v>
      </c>
      <c r="B15" s="6"/>
      <c r="C15" s="6"/>
    </row>
  </sheetData>
  <mergeCells count="4">
    <mergeCell ref="A2:C2"/>
    <mergeCell ref="A13:C13"/>
    <mergeCell ref="A14:C14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</cols>
  <sheetData>
    <row r="1" customFormat="false" ht="15.75" hidden="false" customHeight="true" outlineLevel="0" collapsed="false">
      <c r="A1" s="7" t="s">
        <v>27</v>
      </c>
    </row>
    <row r="3" customFormat="false" ht="15" hidden="false" customHeight="true" outlineLevel="0" collapsed="false">
      <c r="A3" s="8" t="s">
        <v>28</v>
      </c>
      <c r="B3" s="8" t="s">
        <v>29</v>
      </c>
      <c r="C3" s="8" t="s">
        <v>30</v>
      </c>
      <c r="D3" s="8" t="s">
        <v>31</v>
      </c>
    </row>
    <row r="4" customFormat="false" ht="15" hidden="false" customHeight="true" outlineLevel="0" collapsed="false">
      <c r="A4" s="9" t="s">
        <v>32</v>
      </c>
      <c r="B4" s="10" t="n">
        <v>0.6</v>
      </c>
      <c r="C4" s="10" t="n">
        <v>0.6</v>
      </c>
      <c r="D4" s="10" t="n">
        <v>1.5</v>
      </c>
    </row>
    <row r="5" customFormat="false" ht="15" hidden="false" customHeight="true" outlineLevel="0" collapsed="false">
      <c r="A5" s="9" t="s">
        <v>33</v>
      </c>
      <c r="B5" s="10" t="n">
        <v>0.8</v>
      </c>
      <c r="C5" s="10" t="n">
        <v>0.78</v>
      </c>
      <c r="D5" s="10" t="n">
        <v>0.9</v>
      </c>
    </row>
    <row r="6" customFormat="false" ht="15" hidden="false" customHeight="true" outlineLevel="0" collapsed="false">
      <c r="A6" s="9" t="s">
        <v>34</v>
      </c>
      <c r="B6" s="10" t="n">
        <v>0</v>
      </c>
      <c r="C6" s="10" t="n">
        <v>0.1</v>
      </c>
      <c r="D6" s="10" t="n">
        <v>1.2</v>
      </c>
    </row>
    <row r="8" customFormat="false" ht="15" hidden="false" customHeight="true" outlineLevel="0" collapsed="false">
      <c r="A8" s="8" t="s">
        <v>35</v>
      </c>
      <c r="B8" s="8" t="s">
        <v>29</v>
      </c>
      <c r="C8" s="8" t="s">
        <v>30</v>
      </c>
      <c r="D8" s="8" t="s">
        <v>31</v>
      </c>
    </row>
    <row r="9" customFormat="false" ht="15" hidden="false" customHeight="true" outlineLevel="0" collapsed="false">
      <c r="A9" s="11" t="s">
        <v>36</v>
      </c>
      <c r="B9" s="12" t="n">
        <f aca="false">SUMSQ(B4:B6)</f>
        <v>1</v>
      </c>
      <c r="C9" s="12" t="n">
        <f aca="false">SUMSQ(C4:C6)</f>
        <v>0.9784</v>
      </c>
      <c r="D9" s="12" t="n">
        <f aca="false">SUMSQ(D4:D6)</f>
        <v>4.5</v>
      </c>
    </row>
    <row r="10" customFormat="false" ht="15" hidden="false" customHeight="true" outlineLevel="0" collapsed="false">
      <c r="A10" s="13" t="s">
        <v>37</v>
      </c>
      <c r="B10" s="14"/>
      <c r="C10" s="14" t="n">
        <v>0.9784</v>
      </c>
      <c r="D10" s="14" t="n">
        <v>4.5</v>
      </c>
    </row>
    <row r="11" customFormat="false" ht="15" hidden="false" customHeight="true" outlineLevel="0" collapsed="false">
      <c r="A11" s="11" t="s">
        <v>38</v>
      </c>
      <c r="B11" s="15" t="n">
        <f aca="false">SQRT(B9)</f>
        <v>1</v>
      </c>
      <c r="C11" s="15" t="n">
        <f aca="false">SQRT(C9)</f>
        <v>0.989141041510259</v>
      </c>
      <c r="D11" s="15" t="n">
        <f aca="false">SQRT(D9)</f>
        <v>2.12132034355964</v>
      </c>
    </row>
    <row r="12" customFormat="false" ht="15" hidden="false" customHeight="true" outlineLevel="0" collapsed="false">
      <c r="A12" s="13" t="s">
        <v>37</v>
      </c>
      <c r="B12" s="16" t="n">
        <v>1</v>
      </c>
      <c r="C12" s="16" t="n">
        <v>0.989</v>
      </c>
      <c r="D12" s="16" t="n">
        <v>2.121</v>
      </c>
    </row>
    <row r="13" customFormat="false" ht="15" hidden="false" customHeight="true" outlineLevel="0" collapsed="false">
      <c r="A13" s="11" t="s">
        <v>39</v>
      </c>
      <c r="B13" s="15"/>
      <c r="C13" s="15" t="n">
        <f aca="false">SUMPRODUCT(B4:B6,C4:C6)</f>
        <v>0.984</v>
      </c>
      <c r="D13" s="15" t="n">
        <f aca="false">SUMPRODUCT(B4:B6,D4:D6)</f>
        <v>1.62</v>
      </c>
    </row>
    <row r="14" customFormat="false" ht="15" hidden="false" customHeight="true" outlineLevel="0" collapsed="false">
      <c r="A14" s="13" t="s">
        <v>37</v>
      </c>
      <c r="B14" s="16"/>
      <c r="C14" s="16" t="n">
        <v>0.984</v>
      </c>
      <c r="D14" s="16" t="n">
        <v>1.62</v>
      </c>
    </row>
    <row r="15" customFormat="false" ht="15" hidden="false" customHeight="true" outlineLevel="0" collapsed="false">
      <c r="A15" s="11" t="s">
        <v>40</v>
      </c>
      <c r="B15" s="15"/>
      <c r="C15" s="15" t="n">
        <f aca="false">C13/(B11*C11)</f>
        <v>0.994802519262158</v>
      </c>
      <c r="D15" s="15" t="n">
        <f aca="false">D13/(B11*D11)</f>
        <v>0.763675323681471</v>
      </c>
    </row>
    <row r="16" customFormat="false" ht="15" hidden="false" customHeight="true" outlineLevel="0" collapsed="false">
      <c r="A16" s="13" t="s">
        <v>37</v>
      </c>
      <c r="B16" s="16"/>
      <c r="C16" s="16" t="n">
        <v>0.995</v>
      </c>
      <c r="D16" s="16" t="n">
        <v>0.764</v>
      </c>
    </row>
    <row r="17" customFormat="false" ht="15" hidden="false" customHeight="true" outlineLevel="0" collapsed="false">
      <c r="A17" s="11" t="s">
        <v>41</v>
      </c>
      <c r="B17" s="17"/>
      <c r="C17" s="17" t="n">
        <f aca="false">SQRT(2-2*C15)</f>
        <v>0.101955683881208</v>
      </c>
      <c r="D17" s="17" t="n">
        <f aca="false">SQRT(2-2*D15)</f>
        <v>0.687494983717741</v>
      </c>
    </row>
    <row r="18" customFormat="false" ht="15" hidden="false" customHeight="true" outlineLevel="0" collapsed="false">
      <c r="A18" s="13" t="s">
        <v>37</v>
      </c>
      <c r="B18" s="18"/>
      <c r="C18" s="18" t="n">
        <v>0.1</v>
      </c>
      <c r="D18" s="18" t="n">
        <v>0.69</v>
      </c>
    </row>
    <row r="19" customFormat="false" ht="15" hidden="false" customHeight="true" outlineLevel="0" collapsed="false">
      <c r="A19" s="11" t="s">
        <v>42</v>
      </c>
      <c r="B19" s="15" t="n">
        <f aca="false">B4/B11</f>
        <v>0.6</v>
      </c>
      <c r="C19" s="15" t="n">
        <f aca="false">C4/C11</f>
        <v>0.60658690198912</v>
      </c>
      <c r="D19" s="15" t="n">
        <f aca="false">D4/D11</f>
        <v>0.707106781186548</v>
      </c>
    </row>
    <row r="20" customFormat="false" ht="15" hidden="false" customHeight="true" outlineLevel="0" collapsed="false">
      <c r="A20" s="11" t="s">
        <v>43</v>
      </c>
      <c r="B20" s="15" t="n">
        <f aca="false">B5/B11</f>
        <v>0.8</v>
      </c>
      <c r="C20" s="15" t="n">
        <f aca="false">C5/C11</f>
        <v>0.788562972585857</v>
      </c>
      <c r="D20" s="15" t="n">
        <f aca="false">D5/D11</f>
        <v>0.424264068711929</v>
      </c>
    </row>
    <row r="21" customFormat="false" ht="15" hidden="false" customHeight="true" outlineLevel="0" collapsed="false">
      <c r="A21" s="11" t="s">
        <v>44</v>
      </c>
      <c r="B21" s="15" t="n">
        <f aca="false">B6/B11</f>
        <v>0</v>
      </c>
      <c r="C21" s="15" t="n">
        <f aca="false">C6/C11</f>
        <v>0.101097816998187</v>
      </c>
      <c r="D21" s="15" t="n">
        <f aca="false">D6/D11</f>
        <v>0.565685424949238</v>
      </c>
    </row>
    <row r="22" customFormat="false" ht="15" hidden="false" customHeight="true" outlineLevel="0" collapsed="false">
      <c r="A22" s="11" t="s">
        <v>45</v>
      </c>
      <c r="B22" s="17"/>
      <c r="C22" s="17" t="n">
        <f aca="false">SQRT(SUMXMY2(B19:B21,C19:C21))</f>
        <v>0.101955683881209</v>
      </c>
      <c r="D22" s="17" t="n">
        <f aca="false">SQRT(SUMXMY2(B19:B21,D19:D21))</f>
        <v>0.687494983717741</v>
      </c>
    </row>
    <row r="23" customFormat="false" ht="15" hidden="false" customHeight="true" outlineLevel="0" collapsed="false">
      <c r="A23" s="11" t="s">
        <v>46</v>
      </c>
      <c r="B23" s="17"/>
      <c r="C23" s="17" t="n">
        <f aca="false">SQRT(SUMXMY2(B4:B6,C4:C6))</f>
        <v>0.101980390271856</v>
      </c>
      <c r="D23" s="17" t="n">
        <f aca="false">SQRT(SUMXMY2(B4:B6,D4:D6))</f>
        <v>1.50332963783729</v>
      </c>
    </row>
    <row r="25" customFormat="false" ht="15" hidden="false" customHeight="true" outlineLevel="0" collapsed="false">
      <c r="A25" s="8" t="s">
        <v>47</v>
      </c>
      <c r="B25" s="8" t="s">
        <v>48</v>
      </c>
    </row>
    <row r="26" customFormat="false" ht="15" hidden="false" customHeight="true" outlineLevel="0" collapsed="false">
      <c r="A26" s="11" t="s">
        <v>49</v>
      </c>
      <c r="B26" s="11" t="str">
        <f aca="false">IF(C13&gt;D13,"p₁","p₂")</f>
        <v>p₂</v>
      </c>
    </row>
    <row r="27" customFormat="false" ht="15" hidden="false" customHeight="true" outlineLevel="0" collapsed="false">
      <c r="A27" s="11" t="s">
        <v>50</v>
      </c>
      <c r="B27" s="11" t="str">
        <f aca="false">IF(C15&gt;D15,"p₁","p₂")</f>
        <v>p₁</v>
      </c>
    </row>
    <row r="29" customFormat="false" ht="15" hidden="false" customHeight="true" outlineLevel="0" collapsed="false">
      <c r="A29" s="19" t="s">
        <v>51</v>
      </c>
    </row>
    <row r="30" customFormat="false" ht="15" hidden="false" customHeight="true" outlineLevel="0" collapsed="false">
      <c r="A30" s="19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5.75" hidden="false" customHeight="true" outlineLevel="0" collapsed="false">
      <c r="A1" s="7" t="s">
        <v>53</v>
      </c>
    </row>
    <row r="3" customFormat="false" ht="15" hidden="false" customHeight="true" outlineLevel="0" collapsed="false">
      <c r="A3" s="9" t="s">
        <v>54</v>
      </c>
      <c r="B3" s="20" t="n">
        <v>100000</v>
      </c>
    </row>
    <row r="4" customFormat="false" ht="15" hidden="false" customHeight="true" outlineLevel="0" collapsed="false">
      <c r="A4" s="9" t="s">
        <v>55</v>
      </c>
      <c r="B4" s="20" t="n">
        <v>300</v>
      </c>
    </row>
    <row r="5" customFormat="false" ht="15" hidden="false" customHeight="true" outlineLevel="0" collapsed="false">
      <c r="A5" s="9" t="s">
        <v>56</v>
      </c>
      <c r="B5" s="21" t="n">
        <v>4</v>
      </c>
    </row>
    <row r="6" customFormat="false" ht="15" hidden="false" customHeight="true" outlineLevel="0" collapsed="false">
      <c r="A6" s="9" t="s">
        <v>57</v>
      </c>
      <c r="B6" s="21" t="n">
        <v>5</v>
      </c>
    </row>
    <row r="7" customFormat="false" ht="15" hidden="false" customHeight="true" outlineLevel="0" collapsed="false">
      <c r="A7" s="9" t="s">
        <v>58</v>
      </c>
      <c r="B7" s="20" t="n">
        <v>1600000000</v>
      </c>
    </row>
    <row r="9" customFormat="false" ht="15" hidden="false" customHeight="true" outlineLevel="0" collapsed="false">
      <c r="A9" s="8" t="s">
        <v>35</v>
      </c>
      <c r="B9" s="8" t="s">
        <v>59</v>
      </c>
    </row>
    <row r="10" customFormat="false" ht="15" hidden="false" customHeight="true" outlineLevel="0" collapsed="false">
      <c r="A10" s="11" t="s">
        <v>60</v>
      </c>
      <c r="B10" s="22" t="n">
        <f aca="false">B3*B4/1000000</f>
        <v>30</v>
      </c>
    </row>
    <row r="11" customFormat="false" ht="15" hidden="false" customHeight="true" outlineLevel="0" collapsed="false">
      <c r="A11" s="13" t="s">
        <v>37</v>
      </c>
      <c r="B11" s="23" t="n">
        <v>30</v>
      </c>
    </row>
    <row r="12" customFormat="false" ht="15" hidden="false" customHeight="true" outlineLevel="0" collapsed="false">
      <c r="A12" s="11" t="s">
        <v>61</v>
      </c>
      <c r="B12" s="22" t="n">
        <f aca="false">2*B10</f>
        <v>60</v>
      </c>
    </row>
    <row r="13" customFormat="false" ht="15" hidden="false" customHeight="true" outlineLevel="0" collapsed="false">
      <c r="A13" s="13" t="s">
        <v>37</v>
      </c>
      <c r="B13" s="23" t="n">
        <v>60</v>
      </c>
    </row>
    <row r="14" customFormat="false" ht="15" hidden="false" customHeight="true" outlineLevel="0" collapsed="false">
      <c r="A14" s="11" t="s">
        <v>62</v>
      </c>
      <c r="B14" s="22" t="n">
        <f aca="false">B10*B5</f>
        <v>120</v>
      </c>
    </row>
    <row r="15" customFormat="false" ht="15" hidden="false" customHeight="true" outlineLevel="0" collapsed="false">
      <c r="A15" s="13" t="s">
        <v>37</v>
      </c>
      <c r="B15" s="23" t="n">
        <v>120</v>
      </c>
    </row>
    <row r="16" customFormat="false" ht="15" hidden="false" customHeight="true" outlineLevel="0" collapsed="false">
      <c r="A16" s="11" t="s">
        <v>63</v>
      </c>
      <c r="B16" s="24" t="n">
        <f aca="false">2*B6</f>
        <v>10</v>
      </c>
    </row>
    <row r="17" customFormat="false" ht="15" hidden="false" customHeight="true" outlineLevel="0" collapsed="false">
      <c r="A17" s="13" t="s">
        <v>37</v>
      </c>
      <c r="B17" s="25" t="n">
        <v>10</v>
      </c>
    </row>
    <row r="18" customFormat="false" ht="15" hidden="false" customHeight="true" outlineLevel="0" collapsed="false">
      <c r="A18" s="11" t="s">
        <v>64</v>
      </c>
      <c r="B18" s="22" t="n">
        <f aca="false">B7*B16/1000000000</f>
        <v>16</v>
      </c>
    </row>
    <row r="19" customFormat="false" ht="15" hidden="false" customHeight="true" outlineLevel="0" collapsed="false">
      <c r="A19" s="13" t="s">
        <v>37</v>
      </c>
      <c r="B19" s="23" t="n">
        <v>16</v>
      </c>
    </row>
    <row r="21" customFormat="false" ht="15" hidden="false" customHeight="true" outlineLevel="0" collapsed="false">
      <c r="A21" s="19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</cols>
  <sheetData>
    <row r="1" customFormat="false" ht="15.75" hidden="false" customHeight="true" outlineLevel="0" collapsed="false">
      <c r="A1" s="7" t="s">
        <v>66</v>
      </c>
    </row>
    <row r="3" customFormat="false" ht="15" hidden="false" customHeight="true" outlineLevel="0" collapsed="false">
      <c r="A3" s="9" t="s">
        <v>67</v>
      </c>
      <c r="B3" s="20" t="n">
        <v>1000</v>
      </c>
    </row>
    <row r="4" customFormat="false" ht="15" hidden="false" customHeight="true" outlineLevel="0" collapsed="false">
      <c r="A4" s="9" t="s">
        <v>68</v>
      </c>
      <c r="B4" s="20" t="n">
        <v>100</v>
      </c>
    </row>
    <row r="5" customFormat="false" ht="15" hidden="false" customHeight="true" outlineLevel="0" collapsed="false">
      <c r="A5" s="9" t="s">
        <v>69</v>
      </c>
      <c r="B5" s="10" t="n">
        <v>1.2</v>
      </c>
    </row>
    <row r="6" customFormat="false" ht="15" hidden="false" customHeight="true" outlineLevel="0" collapsed="false">
      <c r="A6" s="9" t="s">
        <v>70</v>
      </c>
      <c r="B6" s="10" t="n">
        <v>0.75</v>
      </c>
    </row>
    <row r="8" customFormat="false" ht="15" hidden="false" customHeight="true" outlineLevel="0" collapsed="false">
      <c r="A8" s="8" t="s">
        <v>71</v>
      </c>
      <c r="B8" s="8" t="s">
        <v>72</v>
      </c>
      <c r="C8" s="8" t="s">
        <v>73</v>
      </c>
    </row>
    <row r="9" customFormat="false" ht="15" hidden="false" customHeight="true" outlineLevel="0" collapsed="false">
      <c r="A9" s="9" t="s">
        <v>74</v>
      </c>
      <c r="B9" s="20" t="n">
        <v>50</v>
      </c>
      <c r="C9" s="20" t="n">
        <v>5</v>
      </c>
    </row>
    <row r="10" customFormat="false" ht="15" hidden="false" customHeight="true" outlineLevel="0" collapsed="false">
      <c r="A10" s="11" t="s">
        <v>75</v>
      </c>
      <c r="B10" s="17" t="n">
        <f aca="false">LN(1+(B3-B9+0.5)/(B9+0.5))</f>
        <v>2.98678144303391</v>
      </c>
      <c r="C10" s="17" t="n">
        <f aca="false">LN(1+(B3-C9+0.5)/(C9+0.5))</f>
        <v>5.2040066870768</v>
      </c>
    </row>
    <row r="11" customFormat="false" ht="15" hidden="false" customHeight="true" outlineLevel="0" collapsed="false">
      <c r="A11" s="13" t="s">
        <v>37</v>
      </c>
      <c r="B11" s="18" t="n">
        <v>2.99</v>
      </c>
      <c r="C11" s="18" t="n">
        <v>5.2</v>
      </c>
    </row>
    <row r="12" customFormat="false" ht="15" hidden="false" customHeight="true" outlineLevel="0" collapsed="false">
      <c r="A12" s="11" t="s">
        <v>76</v>
      </c>
      <c r="B12" s="17" t="n">
        <f aca="false">LN((B3-B9+0.5)/(B9+0.5))</f>
        <v>2.93501482564717</v>
      </c>
      <c r="C12" s="17" t="n">
        <f aca="false">LN((B3-C9+0.5)/(C9+0.5))</f>
        <v>5.19849703126583</v>
      </c>
    </row>
    <row r="13" customFormat="false" ht="15" hidden="false" customHeight="true" outlineLevel="0" collapsed="false">
      <c r="A13" s="13" t="s">
        <v>37</v>
      </c>
      <c r="B13" s="18" t="n">
        <v>2.94</v>
      </c>
      <c r="C13" s="18" t="n">
        <v>5.2</v>
      </c>
    </row>
    <row r="15" customFormat="false" ht="15" hidden="false" customHeight="true" outlineLevel="0" collapsed="false">
      <c r="A15" s="8" t="s">
        <v>77</v>
      </c>
      <c r="B15" s="8" t="s">
        <v>78</v>
      </c>
      <c r="C15" s="8" t="s">
        <v>79</v>
      </c>
    </row>
    <row r="16" customFormat="false" ht="15" hidden="false" customHeight="true" outlineLevel="0" collapsed="false">
      <c r="A16" s="9" t="s">
        <v>80</v>
      </c>
      <c r="B16" s="20" t="n">
        <v>120</v>
      </c>
      <c r="C16" s="20" t="n">
        <v>80</v>
      </c>
    </row>
    <row r="17" customFormat="false" ht="15" hidden="false" customHeight="true" outlineLevel="0" collapsed="false">
      <c r="A17" s="9" t="s">
        <v>81</v>
      </c>
      <c r="B17" s="21" t="n">
        <v>2</v>
      </c>
      <c r="C17" s="21" t="n">
        <v>4</v>
      </c>
    </row>
    <row r="18" customFormat="false" ht="15" hidden="false" customHeight="true" outlineLevel="0" collapsed="false">
      <c r="A18" s="9" t="s">
        <v>82</v>
      </c>
      <c r="B18" s="21" t="n">
        <v>1</v>
      </c>
      <c r="C18" s="21" t="n">
        <v>0</v>
      </c>
    </row>
    <row r="20" customFormat="false" ht="15" hidden="false" customHeight="true" outlineLevel="0" collapsed="false">
      <c r="A20" s="8" t="s">
        <v>35</v>
      </c>
      <c r="B20" s="8" t="s">
        <v>78</v>
      </c>
      <c r="C20" s="8" t="s">
        <v>79</v>
      </c>
    </row>
    <row r="21" customFormat="false" ht="15" hidden="false" customHeight="true" outlineLevel="0" collapsed="false">
      <c r="A21" s="11" t="s">
        <v>83</v>
      </c>
      <c r="B21" s="17" t="n">
        <f aca="false">B5*(1-B6+B6*B16/B4)</f>
        <v>1.38</v>
      </c>
      <c r="C21" s="17" t="n">
        <f aca="false">B5*(1-B6+B6*C16/B4)</f>
        <v>1.02</v>
      </c>
    </row>
    <row r="22" customFormat="false" ht="15" hidden="false" customHeight="true" outlineLevel="0" collapsed="false">
      <c r="A22" s="13" t="s">
        <v>37</v>
      </c>
      <c r="B22" s="18" t="n">
        <v>1.38</v>
      </c>
      <c r="C22" s="18" t="n">
        <v>1.02</v>
      </c>
    </row>
    <row r="23" customFormat="false" ht="15" hidden="false" customHeight="true" outlineLevel="0" collapsed="false">
      <c r="A23" s="11" t="s">
        <v>84</v>
      </c>
      <c r="B23" s="17" t="n">
        <f aca="false">B17*(B5+1)/(B17+B21)</f>
        <v>1.30177514792899</v>
      </c>
      <c r="C23" s="17" t="n">
        <f aca="false">C17*(B5+1)/(C17+C21)</f>
        <v>1.75298804780877</v>
      </c>
    </row>
    <row r="24" customFormat="false" ht="15" hidden="false" customHeight="true" outlineLevel="0" collapsed="false">
      <c r="A24" s="13" t="s">
        <v>37</v>
      </c>
      <c r="B24" s="18" t="n">
        <v>1.3</v>
      </c>
      <c r="C24" s="18" t="n">
        <v>1.75</v>
      </c>
    </row>
    <row r="25" customFormat="false" ht="15" hidden="false" customHeight="true" outlineLevel="0" collapsed="false">
      <c r="A25" s="11" t="s">
        <v>85</v>
      </c>
      <c r="B25" s="17" t="n">
        <f aca="false">B18*(B5+1)/(B18+B21)</f>
        <v>0.92436974789916</v>
      </c>
      <c r="C25" s="17" t="n">
        <f aca="false">C18*(B5+1)/(C18+C21)</f>
        <v>0</v>
      </c>
    </row>
    <row r="26" customFormat="false" ht="15" hidden="false" customHeight="true" outlineLevel="0" collapsed="false">
      <c r="A26" s="13" t="s">
        <v>37</v>
      </c>
      <c r="B26" s="18" t="n">
        <v>0.92</v>
      </c>
      <c r="C26" s="18"/>
    </row>
    <row r="27" customFormat="false" ht="15" hidden="false" customHeight="true" outlineLevel="0" collapsed="false">
      <c r="A27" s="11" t="s">
        <v>86</v>
      </c>
      <c r="B27" s="17" t="n">
        <f aca="false">B10*B23+C10*B25</f>
        <v>8.69854420423576</v>
      </c>
      <c r="C27" s="17" t="n">
        <f aca="false">B10*C23+C10*C25</f>
        <v>5.23579217105545</v>
      </c>
    </row>
    <row r="28" customFormat="false" ht="15" hidden="false" customHeight="true" outlineLevel="0" collapsed="false">
      <c r="A28" s="13" t="s">
        <v>37</v>
      </c>
      <c r="B28" s="18" t="n">
        <v>8.7</v>
      </c>
      <c r="C28" s="18" t="n">
        <v>5.24</v>
      </c>
    </row>
    <row r="29" customFormat="false" ht="15" hidden="false" customHeight="true" outlineLevel="0" collapsed="false">
      <c r="A29" s="11" t="s">
        <v>87</v>
      </c>
      <c r="B29" s="17" t="n">
        <f aca="false">B12*B23+C12*B25</f>
        <v>8.62606274907636</v>
      </c>
      <c r="C29" s="17" t="n">
        <f aca="false">B12*C23+C12*C25</f>
        <v>5.14504590950102</v>
      </c>
    </row>
    <row r="31" customFormat="false" ht="15" hidden="false" customHeight="true" outlineLevel="0" collapsed="false">
      <c r="A31" s="8" t="s">
        <v>88</v>
      </c>
      <c r="B31" s="8" t="s">
        <v>59</v>
      </c>
    </row>
    <row r="32" customFormat="false" ht="15" hidden="false" customHeight="true" outlineLevel="0" collapsed="false">
      <c r="A32" s="9" t="s">
        <v>89</v>
      </c>
      <c r="B32" s="21" t="n">
        <v>2</v>
      </c>
    </row>
    <row r="33" customFormat="false" ht="15" hidden="false" customHeight="true" outlineLevel="0" collapsed="false">
      <c r="A33" s="9" t="s">
        <v>90</v>
      </c>
      <c r="B33" s="21" t="n">
        <v>4</v>
      </c>
    </row>
    <row r="34" customFormat="false" ht="15" hidden="false" customHeight="true" outlineLevel="0" collapsed="false">
      <c r="A34" s="11" t="s">
        <v>91</v>
      </c>
      <c r="B34" s="17" t="n">
        <f aca="false">(B33*(B5+1)/(B33+B21))/(B32*(B5+1)/(B32+B21))</f>
        <v>1.25650557620818</v>
      </c>
    </row>
    <row r="35" customFormat="false" ht="15" hidden="false" customHeight="true" outlineLevel="0" collapsed="false">
      <c r="A35" s="13" t="s">
        <v>37</v>
      </c>
      <c r="B35" s="18" t="n">
        <v>1.26</v>
      </c>
    </row>
    <row r="36" customFormat="false" ht="15" hidden="false" customHeight="true" outlineLevel="0" collapsed="false">
      <c r="A36" s="11" t="s">
        <v>92</v>
      </c>
      <c r="B36" s="17" t="n">
        <f aca="false">(B33*(B5+1)/(B33+B5))/(B32*(B5+1)/(B32+B5))</f>
        <v>1.23076923076923</v>
      </c>
    </row>
    <row r="37" customFormat="false" ht="15" hidden="false" customHeight="true" outlineLevel="0" collapsed="false">
      <c r="A37" s="13" t="s">
        <v>37</v>
      </c>
      <c r="B37" s="18" t="n">
        <v>1.23</v>
      </c>
    </row>
    <row r="39" customFormat="false" ht="15" hidden="false" customHeight="true" outlineLevel="0" collapsed="false">
      <c r="A39" s="19" t="s">
        <v>93</v>
      </c>
    </row>
    <row r="40" customFormat="false" ht="15" hidden="false" customHeight="true" outlineLevel="0" collapsed="false">
      <c r="A40" s="19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5.75" hidden="false" customHeight="true" outlineLevel="0" collapsed="false">
      <c r="A1" s="7" t="s">
        <v>95</v>
      </c>
    </row>
    <row r="3" customFormat="false" ht="15" hidden="false" customHeight="true" outlineLevel="0" collapsed="false">
      <c r="A3" s="9" t="s">
        <v>96</v>
      </c>
      <c r="B3" s="20" t="n">
        <v>670000</v>
      </c>
    </row>
    <row r="4" customFormat="false" ht="15" hidden="false" customHeight="true" outlineLevel="0" collapsed="false">
      <c r="A4" s="9" t="s">
        <v>97</v>
      </c>
      <c r="B4" s="20" t="n">
        <v>512</v>
      </c>
    </row>
    <row r="5" customFormat="false" ht="15" hidden="false" customHeight="true" outlineLevel="0" collapsed="false">
      <c r="A5" s="9" t="s">
        <v>98</v>
      </c>
      <c r="B5" s="20" t="n">
        <v>1024</v>
      </c>
    </row>
    <row r="6" customFormat="false" ht="15" hidden="false" customHeight="true" outlineLevel="0" collapsed="false">
      <c r="A6" s="9" t="s">
        <v>99</v>
      </c>
      <c r="B6" s="21" t="n">
        <v>4</v>
      </c>
    </row>
    <row r="7" customFormat="false" ht="15" hidden="false" customHeight="true" outlineLevel="0" collapsed="false">
      <c r="A7" s="9" t="s">
        <v>100</v>
      </c>
      <c r="B7" s="20" t="n">
        <v>128</v>
      </c>
    </row>
    <row r="8" customFormat="false" ht="15" hidden="false" customHeight="true" outlineLevel="0" collapsed="false">
      <c r="A8" s="9" t="s">
        <v>101</v>
      </c>
      <c r="B8" s="21" t="n">
        <v>2</v>
      </c>
    </row>
    <row r="9" customFormat="false" ht="15" hidden="false" customHeight="true" outlineLevel="0" collapsed="false">
      <c r="A9" s="9" t="s">
        <v>102</v>
      </c>
      <c r="B9" s="21" t="n">
        <v>2</v>
      </c>
    </row>
    <row r="10" customFormat="false" ht="15" hidden="false" customHeight="true" outlineLevel="0" collapsed="false">
      <c r="A10" s="9" t="s">
        <v>103</v>
      </c>
      <c r="B10" s="21" t="n">
        <v>4</v>
      </c>
    </row>
    <row r="11" customFormat="false" ht="15" hidden="false" customHeight="true" outlineLevel="0" collapsed="false">
      <c r="A11" s="9" t="s">
        <v>104</v>
      </c>
      <c r="B11" s="20" t="n">
        <v>1000</v>
      </c>
    </row>
    <row r="12" customFormat="false" ht="15" hidden="false" customHeight="true" outlineLevel="0" collapsed="false">
      <c r="A12" s="9" t="s">
        <v>105</v>
      </c>
      <c r="B12" s="20" t="n">
        <v>100000</v>
      </c>
    </row>
    <row r="14" customFormat="false" ht="15" hidden="false" customHeight="true" outlineLevel="0" collapsed="false">
      <c r="A14" s="8" t="s">
        <v>35</v>
      </c>
      <c r="B14" s="8" t="s">
        <v>59</v>
      </c>
    </row>
    <row r="15" customFormat="false" ht="15" hidden="false" customHeight="true" outlineLevel="0" collapsed="false">
      <c r="A15" s="11" t="s">
        <v>106</v>
      </c>
      <c r="B15" s="22" t="n">
        <f aca="false">B5*B6</f>
        <v>4096</v>
      </c>
    </row>
    <row r="16" customFormat="false" ht="15" hidden="false" customHeight="true" outlineLevel="0" collapsed="false">
      <c r="A16" s="13" t="s">
        <v>37</v>
      </c>
      <c r="B16" s="23" t="n">
        <v>4096</v>
      </c>
    </row>
    <row r="17" customFormat="false" ht="15" hidden="false" customHeight="true" outlineLevel="0" collapsed="false">
      <c r="A17" s="11" t="s">
        <v>107</v>
      </c>
      <c r="B17" s="26" t="n">
        <f aca="false">B3*B15/1000000000</f>
        <v>2.74432</v>
      </c>
    </row>
    <row r="18" customFormat="false" ht="15" hidden="false" customHeight="true" outlineLevel="0" collapsed="false">
      <c r="A18" s="13" t="s">
        <v>37</v>
      </c>
      <c r="B18" s="27" t="n">
        <v>2.7</v>
      </c>
    </row>
    <row r="19" customFormat="false" ht="15" hidden="false" customHeight="true" outlineLevel="0" collapsed="false">
      <c r="A19" s="11" t="s">
        <v>108</v>
      </c>
      <c r="B19" s="22" t="n">
        <f aca="false">B4*B7*B8/1000</f>
        <v>131.072</v>
      </c>
    </row>
    <row r="20" customFormat="false" ht="15" hidden="false" customHeight="true" outlineLevel="0" collapsed="false">
      <c r="A20" s="13" t="s">
        <v>37</v>
      </c>
      <c r="B20" s="23" t="n">
        <v>131</v>
      </c>
    </row>
    <row r="21" customFormat="false" ht="15" hidden="false" customHeight="true" outlineLevel="0" collapsed="false">
      <c r="A21" s="11" t="s">
        <v>109</v>
      </c>
      <c r="B21" s="24" t="n">
        <f aca="false">B19*1000/B15</f>
        <v>32</v>
      </c>
    </row>
    <row r="22" customFormat="false" ht="15" hidden="false" customHeight="true" outlineLevel="0" collapsed="false">
      <c r="A22" s="13" t="s">
        <v>37</v>
      </c>
      <c r="B22" s="25" t="n">
        <v>32</v>
      </c>
    </row>
    <row r="23" customFormat="false" ht="15" hidden="false" customHeight="true" outlineLevel="0" collapsed="false">
      <c r="A23" s="11" t="s">
        <v>110</v>
      </c>
      <c r="B23" s="24" t="n">
        <f aca="false">B4*B7*B6/B15</f>
        <v>64</v>
      </c>
    </row>
    <row r="24" customFormat="false" ht="15" hidden="false" customHeight="true" outlineLevel="0" collapsed="false">
      <c r="A24" s="13" t="s">
        <v>37</v>
      </c>
      <c r="B24" s="25" t="n">
        <v>64</v>
      </c>
    </row>
    <row r="25" customFormat="false" ht="15" hidden="false" customHeight="true" outlineLevel="0" collapsed="false">
      <c r="A25" s="11" t="s">
        <v>111</v>
      </c>
      <c r="B25" s="22" t="n">
        <f aca="false">B3*B19/1000000</f>
        <v>87.81824</v>
      </c>
    </row>
    <row r="26" customFormat="false" ht="15" hidden="false" customHeight="true" outlineLevel="0" collapsed="false">
      <c r="A26" s="13" t="s">
        <v>37</v>
      </c>
      <c r="B26" s="23" t="n">
        <v>88</v>
      </c>
    </row>
    <row r="27" customFormat="false" ht="15" hidden="false" customHeight="true" outlineLevel="0" collapsed="false">
      <c r="A27" s="11" t="s">
        <v>112</v>
      </c>
      <c r="B27" s="24" t="n">
        <f aca="false">B7*B9/8+B10</f>
        <v>36</v>
      </c>
    </row>
    <row r="28" customFormat="false" ht="15" hidden="false" customHeight="true" outlineLevel="0" collapsed="false">
      <c r="A28" s="13" t="s">
        <v>37</v>
      </c>
      <c r="B28" s="25" t="n">
        <v>36</v>
      </c>
    </row>
    <row r="29" customFormat="false" ht="15" hidden="false" customHeight="true" outlineLevel="0" collapsed="false">
      <c r="A29" s="11" t="s">
        <v>113</v>
      </c>
      <c r="B29" s="26" t="n">
        <f aca="false">B4*B27/1000</f>
        <v>18.432</v>
      </c>
    </row>
    <row r="30" customFormat="false" ht="15" hidden="false" customHeight="true" outlineLevel="0" collapsed="false">
      <c r="A30" s="13" t="s">
        <v>37</v>
      </c>
      <c r="B30" s="27" t="n">
        <v>18</v>
      </c>
    </row>
    <row r="31" customFormat="false" ht="15" hidden="false" customHeight="true" outlineLevel="0" collapsed="false">
      <c r="A31" s="11" t="s">
        <v>114</v>
      </c>
      <c r="B31" s="26" t="n">
        <f aca="false">B3*B29/1000000</f>
        <v>12.34944</v>
      </c>
    </row>
    <row r="32" customFormat="false" ht="15" hidden="false" customHeight="true" outlineLevel="0" collapsed="false">
      <c r="A32" s="13" t="s">
        <v>37</v>
      </c>
      <c r="B32" s="27" t="n">
        <v>12</v>
      </c>
    </row>
    <row r="33" customFormat="false" ht="15" hidden="false" customHeight="true" outlineLevel="0" collapsed="false">
      <c r="A33" s="11" t="s">
        <v>115</v>
      </c>
      <c r="B33" s="26" t="n">
        <f aca="false">B29*1000/B15</f>
        <v>4.5</v>
      </c>
    </row>
    <row r="34" customFormat="false" ht="15" hidden="false" customHeight="true" outlineLevel="0" collapsed="false">
      <c r="A34" s="13" t="s">
        <v>37</v>
      </c>
      <c r="B34" s="27" t="n">
        <v>4.5</v>
      </c>
    </row>
    <row r="35" customFormat="false" ht="15" hidden="false" customHeight="true" outlineLevel="0" collapsed="false">
      <c r="A35" s="11" t="s">
        <v>116</v>
      </c>
      <c r="B35" s="22" t="n">
        <f aca="false">B11*B7*B8/1000</f>
        <v>256</v>
      </c>
    </row>
    <row r="36" customFormat="false" ht="15" hidden="false" customHeight="true" outlineLevel="0" collapsed="false">
      <c r="A36" s="13" t="s">
        <v>37</v>
      </c>
      <c r="B36" s="23" t="n">
        <v>256</v>
      </c>
    </row>
    <row r="37" customFormat="false" ht="15" hidden="false" customHeight="true" outlineLevel="0" collapsed="false">
      <c r="A37" s="11" t="s">
        <v>117</v>
      </c>
      <c r="B37" s="26" t="n">
        <f aca="false">B12*B35/1000000</f>
        <v>25.6</v>
      </c>
    </row>
    <row r="38" customFormat="false" ht="15" hidden="false" customHeight="true" outlineLevel="0" collapsed="false">
      <c r="A38" s="13" t="s">
        <v>37</v>
      </c>
      <c r="B38" s="27" t="n">
        <v>26</v>
      </c>
    </row>
    <row r="40" customFormat="false" ht="15" hidden="false" customHeight="true" outlineLevel="0" collapsed="false">
      <c r="A40" s="19" t="s">
        <v>118</v>
      </c>
    </row>
    <row r="41" customFormat="false" ht="15" hidden="false" customHeight="true" outlineLevel="0" collapsed="false">
      <c r="A41" s="19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</cols>
  <sheetData>
    <row r="1" customFormat="false" ht="15.75" hidden="false" customHeight="true" outlineLevel="0" collapsed="false">
      <c r="A1" s="7" t="s">
        <v>120</v>
      </c>
    </row>
    <row r="3" customFormat="false" ht="15" hidden="false" customHeight="true" outlineLevel="0" collapsed="false">
      <c r="A3" s="9" t="s">
        <v>121</v>
      </c>
      <c r="B3" s="20" t="n">
        <v>10000000</v>
      </c>
    </row>
    <row r="4" customFormat="false" ht="15" hidden="false" customHeight="true" outlineLevel="0" collapsed="false">
      <c r="A4" s="9" t="s">
        <v>122</v>
      </c>
      <c r="B4" s="20" t="n">
        <v>1024</v>
      </c>
    </row>
    <row r="5" customFormat="false" ht="15" hidden="false" customHeight="true" outlineLevel="0" collapsed="false">
      <c r="A5" s="9" t="s">
        <v>123</v>
      </c>
      <c r="B5" s="20" t="n">
        <v>256</v>
      </c>
    </row>
    <row r="6" customFormat="false" ht="15" hidden="false" customHeight="true" outlineLevel="0" collapsed="false">
      <c r="A6" s="9" t="s">
        <v>124</v>
      </c>
      <c r="B6" s="21" t="n">
        <v>4</v>
      </c>
    </row>
    <row r="7" customFormat="false" ht="15" hidden="false" customHeight="true" outlineLevel="0" collapsed="false">
      <c r="A7" s="9" t="s">
        <v>125</v>
      </c>
      <c r="B7" s="21" t="n">
        <v>1</v>
      </c>
    </row>
    <row r="8" customFormat="false" ht="15" hidden="false" customHeight="true" outlineLevel="0" collapsed="false">
      <c r="A8" s="9" t="s">
        <v>126</v>
      </c>
      <c r="B8" s="21" t="n">
        <v>1</v>
      </c>
    </row>
    <row r="10" customFormat="false" ht="30" hidden="false" customHeight="true" outlineLevel="0" collapsed="false">
      <c r="A10" s="8" t="s">
        <v>35</v>
      </c>
      <c r="B10" s="8" t="s">
        <v>127</v>
      </c>
      <c r="C10" s="8" t="s">
        <v>128</v>
      </c>
    </row>
    <row r="11" customFormat="false" ht="15" hidden="false" customHeight="true" outlineLevel="0" collapsed="false">
      <c r="A11" s="11" t="s">
        <v>129</v>
      </c>
      <c r="B11" s="24" t="n">
        <f aca="false">B3*B4*B6/1000000000</f>
        <v>40.96</v>
      </c>
      <c r="C11" s="24" t="n">
        <f aca="false">1</f>
        <v>1</v>
      </c>
    </row>
    <row r="12" customFormat="false" ht="15" hidden="false" customHeight="true" outlineLevel="0" collapsed="false">
      <c r="A12" s="13" t="s">
        <v>37</v>
      </c>
      <c r="B12" s="25" t="n">
        <v>41</v>
      </c>
      <c r="C12" s="25"/>
    </row>
    <row r="13" customFormat="false" ht="15" hidden="false" customHeight="true" outlineLevel="0" collapsed="false">
      <c r="A13" s="11" t="s">
        <v>130</v>
      </c>
      <c r="B13" s="26" t="n">
        <f aca="false">B3*B4*B7/1000000000</f>
        <v>10.24</v>
      </c>
      <c r="C13" s="24" t="n">
        <f aca="false">B11/B13</f>
        <v>4</v>
      </c>
    </row>
    <row r="14" customFormat="false" ht="15" hidden="false" customHeight="true" outlineLevel="0" collapsed="false">
      <c r="A14" s="13" t="s">
        <v>37</v>
      </c>
      <c r="B14" s="27" t="n">
        <v>10.2</v>
      </c>
      <c r="C14" s="25"/>
    </row>
    <row r="15" customFormat="false" ht="15" hidden="false" customHeight="true" outlineLevel="0" collapsed="false">
      <c r="A15" s="11" t="s">
        <v>131</v>
      </c>
      <c r="B15" s="26" t="n">
        <f aca="false">B3*B5*B6/1000000000</f>
        <v>10.24</v>
      </c>
      <c r="C15" s="24" t="n">
        <f aca="false">B11/B15</f>
        <v>4</v>
      </c>
    </row>
    <row r="16" customFormat="false" ht="15" hidden="false" customHeight="true" outlineLevel="0" collapsed="false">
      <c r="A16" s="13" t="s">
        <v>37</v>
      </c>
      <c r="B16" s="27" t="n">
        <v>10.2</v>
      </c>
      <c r="C16" s="25"/>
    </row>
    <row r="17" customFormat="false" ht="15" hidden="false" customHeight="true" outlineLevel="0" collapsed="false">
      <c r="A17" s="11" t="s">
        <v>132</v>
      </c>
      <c r="B17" s="26" t="n">
        <f aca="false">B3*B4*B8/8/1000000000</f>
        <v>1.28</v>
      </c>
      <c r="C17" s="24" t="n">
        <f aca="false">B11/B17</f>
        <v>32</v>
      </c>
    </row>
    <row r="18" customFormat="false" ht="15" hidden="false" customHeight="true" outlineLevel="0" collapsed="false">
      <c r="A18" s="13" t="s">
        <v>37</v>
      </c>
      <c r="B18" s="27" t="n">
        <v>1.3</v>
      </c>
      <c r="C18" s="25"/>
    </row>
    <row r="19" customFormat="false" ht="15" hidden="false" customHeight="true" outlineLevel="0" collapsed="false">
      <c r="A19" s="11" t="s">
        <v>133</v>
      </c>
      <c r="B19" s="17" t="n">
        <f aca="false">B3*B5*B8/8/1000000000</f>
        <v>0.32</v>
      </c>
      <c r="C19" s="24" t="n">
        <f aca="false">B11/B19</f>
        <v>128</v>
      </c>
    </row>
    <row r="20" customFormat="false" ht="15" hidden="false" customHeight="true" outlineLevel="0" collapsed="false">
      <c r="A20" s="13" t="s">
        <v>37</v>
      </c>
      <c r="B20" s="18" t="n">
        <v>0.32</v>
      </c>
      <c r="C20" s="25"/>
    </row>
    <row r="22" customFormat="false" ht="15" hidden="false" customHeight="true" outlineLevel="0" collapsed="false">
      <c r="A22" s="19" t="s">
        <v>134</v>
      </c>
    </row>
    <row r="23" customFormat="false" ht="15" hidden="false" customHeight="true" outlineLevel="0" collapsed="false">
      <c r="A23" s="19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5.75" hidden="false" customHeight="true" outlineLevel="0" collapsed="false">
      <c r="A1" s="7" t="s">
        <v>136</v>
      </c>
    </row>
    <row r="3" customFormat="false" ht="15" hidden="false" customHeight="true" outlineLevel="0" collapsed="false">
      <c r="A3" s="9" t="s">
        <v>137</v>
      </c>
      <c r="B3" s="28" t="n">
        <v>0.6</v>
      </c>
    </row>
    <row r="4" customFormat="false" ht="15" hidden="false" customHeight="true" outlineLevel="0" collapsed="false">
      <c r="A4" s="9" t="s">
        <v>138</v>
      </c>
      <c r="B4" s="20" t="n">
        <v>600</v>
      </c>
    </row>
    <row r="5" customFormat="false" ht="15" hidden="false" customHeight="true" outlineLevel="0" collapsed="false">
      <c r="A5" s="9" t="s">
        <v>139</v>
      </c>
      <c r="B5" s="21" t="n">
        <v>50</v>
      </c>
    </row>
    <row r="6" customFormat="false" ht="15" hidden="false" customHeight="true" outlineLevel="0" collapsed="false">
      <c r="A6" s="9" t="s">
        <v>140</v>
      </c>
      <c r="B6" s="20" t="n">
        <v>670000</v>
      </c>
    </row>
    <row r="7" customFormat="false" ht="15" hidden="false" customHeight="true" outlineLevel="0" collapsed="false">
      <c r="A7" s="9" t="s">
        <v>141</v>
      </c>
      <c r="B7" s="21" t="n">
        <v>30</v>
      </c>
    </row>
    <row r="8" customFormat="false" ht="15" hidden="false" customHeight="true" outlineLevel="0" collapsed="false">
      <c r="A8" s="9" t="s">
        <v>142</v>
      </c>
      <c r="B8" s="21" t="n">
        <v>2</v>
      </c>
    </row>
    <row r="9" customFormat="false" ht="15" hidden="false" customHeight="true" outlineLevel="0" collapsed="false">
      <c r="A9" s="9" t="s">
        <v>143</v>
      </c>
      <c r="B9" s="20" t="n">
        <v>672</v>
      </c>
    </row>
    <row r="10" customFormat="false" ht="15" hidden="false" customHeight="true" outlineLevel="0" collapsed="false">
      <c r="A10" s="9" t="s">
        <v>144</v>
      </c>
      <c r="B10" s="21" t="n">
        <v>50</v>
      </c>
    </row>
    <row r="12" customFormat="false" ht="15" hidden="false" customHeight="true" outlineLevel="0" collapsed="false">
      <c r="A12" s="8" t="s">
        <v>35</v>
      </c>
      <c r="B12" s="8" t="s">
        <v>59</v>
      </c>
    </row>
    <row r="13" customFormat="false" ht="15" hidden="false" customHeight="true" outlineLevel="0" collapsed="false">
      <c r="A13" s="11" t="s">
        <v>145</v>
      </c>
      <c r="B13" s="29" t="n">
        <f aca="false">2*B3*1000000000*B4</f>
        <v>720000000000</v>
      </c>
    </row>
    <row r="14" customFormat="false" ht="15" hidden="false" customHeight="true" outlineLevel="0" collapsed="false">
      <c r="A14" s="13" t="s">
        <v>37</v>
      </c>
      <c r="B14" s="30" t="n">
        <v>720000000000</v>
      </c>
    </row>
    <row r="15" customFormat="false" ht="15" hidden="false" customHeight="true" outlineLevel="0" collapsed="false">
      <c r="A15" s="11" t="s">
        <v>146</v>
      </c>
      <c r="B15" s="29" t="n">
        <f aca="false">B6*B13</f>
        <v>4.824E+017</v>
      </c>
    </row>
    <row r="16" customFormat="false" ht="15" hidden="false" customHeight="true" outlineLevel="0" collapsed="false">
      <c r="A16" s="13" t="s">
        <v>37</v>
      </c>
      <c r="B16" s="30" t="n">
        <v>4.8E+017</v>
      </c>
    </row>
    <row r="17" customFormat="false" ht="15" hidden="false" customHeight="true" outlineLevel="0" collapsed="false">
      <c r="A17" s="11" t="s">
        <v>147</v>
      </c>
      <c r="B17" s="26" t="n">
        <f aca="false">B15/(B5*1000000000000)/3600</f>
        <v>2.68</v>
      </c>
    </row>
    <row r="18" customFormat="false" ht="15" hidden="false" customHeight="true" outlineLevel="0" collapsed="false">
      <c r="A18" s="13" t="s">
        <v>37</v>
      </c>
      <c r="B18" s="27" t="n">
        <v>2.7</v>
      </c>
    </row>
    <row r="19" customFormat="false" ht="15" hidden="false" customHeight="true" outlineLevel="0" collapsed="false">
      <c r="A19" s="11" t="s">
        <v>148</v>
      </c>
      <c r="B19" s="29" t="n">
        <f aca="false">2*B3*1000000000*B7</f>
        <v>36000000000</v>
      </c>
    </row>
    <row r="20" customFormat="false" ht="15" hidden="false" customHeight="true" outlineLevel="0" collapsed="false">
      <c r="A20" s="13" t="s">
        <v>37</v>
      </c>
      <c r="B20" s="30" t="n">
        <v>36000000000</v>
      </c>
    </row>
    <row r="21" customFormat="false" ht="15" hidden="false" customHeight="true" outlineLevel="0" collapsed="false">
      <c r="A21" s="11" t="s">
        <v>149</v>
      </c>
      <c r="B21" s="17" t="n">
        <f aca="false">B19/(B5*1000000000000)*1000</f>
        <v>0.72</v>
      </c>
    </row>
    <row r="22" customFormat="false" ht="15" hidden="false" customHeight="true" outlineLevel="0" collapsed="false">
      <c r="A22" s="11" t="s">
        <v>150</v>
      </c>
      <c r="B22" s="26" t="n">
        <f aca="false">B3*B8</f>
        <v>1.2</v>
      </c>
    </row>
    <row r="23" customFormat="false" ht="15" hidden="false" customHeight="true" outlineLevel="0" collapsed="false">
      <c r="A23" s="13" t="s">
        <v>37</v>
      </c>
      <c r="B23" s="27" t="n">
        <v>1.2</v>
      </c>
    </row>
    <row r="24" customFormat="false" ht="15" hidden="false" customHeight="true" outlineLevel="0" collapsed="false">
      <c r="A24" s="11" t="s">
        <v>151</v>
      </c>
      <c r="B24" s="26" t="n">
        <f aca="false">B22/B9*1000</f>
        <v>1.78571428571429</v>
      </c>
    </row>
    <row r="25" customFormat="false" ht="15" hidden="false" customHeight="true" outlineLevel="0" collapsed="false">
      <c r="A25" s="11" t="s">
        <v>152</v>
      </c>
      <c r="B25" s="29" t="n">
        <f aca="false">B10*B13</f>
        <v>36000000000000</v>
      </c>
    </row>
    <row r="26" customFormat="false" ht="15" hidden="false" customHeight="true" outlineLevel="0" collapsed="false">
      <c r="A26" s="13" t="s">
        <v>37</v>
      </c>
      <c r="B26" s="30" t="n">
        <v>36000000000000</v>
      </c>
    </row>
    <row r="27" customFormat="false" ht="15" hidden="false" customHeight="true" outlineLevel="0" collapsed="false">
      <c r="A27" s="11" t="s">
        <v>153</v>
      </c>
      <c r="B27" s="17" t="n">
        <f aca="false">B25/(B5*1000000000000)</f>
        <v>0.72</v>
      </c>
    </row>
    <row r="28" customFormat="false" ht="15" hidden="false" customHeight="true" outlineLevel="0" collapsed="false">
      <c r="A28" s="13" t="s">
        <v>37</v>
      </c>
      <c r="B28" s="18" t="n">
        <v>0.7</v>
      </c>
    </row>
    <row r="29" customFormat="false" ht="15" hidden="false" customHeight="true" outlineLevel="0" collapsed="false">
      <c r="A29" s="11" t="s">
        <v>154</v>
      </c>
      <c r="B29" s="22" t="n">
        <f aca="false">B6/B10</f>
        <v>13400</v>
      </c>
    </row>
    <row r="31" customFormat="false" ht="15" hidden="false" customHeight="true" outlineLevel="0" collapsed="false">
      <c r="A31" s="19" t="s">
        <v>155</v>
      </c>
    </row>
    <row r="32" customFormat="false" ht="15" hidden="false" customHeight="true" outlineLevel="0" collapsed="false">
      <c r="A32" s="19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2026-10-26T13:21:37Z</dcterms:created>
  <dc:creator>openpyxl</dc:creator>
  <dc:description/>
  <dc:language>en-US</dc:language>
  <cp:lastModifiedBy/>
  <dcterms:modified xsi:type="dcterms:W3CDTF">2026-10-26T13:21:38Z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