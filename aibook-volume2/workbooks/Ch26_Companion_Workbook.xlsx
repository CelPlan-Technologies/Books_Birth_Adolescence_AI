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Judge Calibration" sheetId="2" state="visible" r:id="rId4"/>
    <sheet name="Verification" sheetId="3" state="visible" r:id="rId5"/>
    <sheet name="Cost Monitoring" sheetId="4" state="visible" r:id="rId6"/>
    <sheet name="AB Sample Size" sheetId="5" state="visible" r:id="rId7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<sst xmlns="http://schemas.openxmlformats.org/spreadsheetml/2006/main" count="175" uniqueCount="126">
  <si>
    <t xml:space="preserve">Chapter 26 — Evaluation and Observability</t>
  </si>
  <si>
    <t xml:space="preserve">Companion workbook of The Birth and Adolescence of Artificial Intelligence, Volume 2, by Leonhard Korowajczuk. Blue cells on a light yellow background are inputs: change them and every result recalculates.</t>
  </si>
  <si>
    <t xml:space="preserve">Sheet</t>
  </si>
  <si>
    <t xml:space="preserve">What it computes</t>
  </si>
  <si>
    <t xml:space="preserve">Book reference</t>
  </si>
  <si>
    <t xml:space="preserve">Judge Calibration</t>
  </si>
  <si>
    <t xml:space="preserve">Agreement, chance agreement, Cohen's kappa and its 95% interval, leniency, sensitivity and specificity of an LLM judge against a human reviewer.</t>
  </si>
  <si>
    <t xml:space="preserve">Section 26.3, Worked Example 26.1</t>
  </si>
  <si>
    <t xml:space="preserve">Verification</t>
  </si>
  <si>
    <t xml:space="preserve">Undetected wrong answers and review workload with one model and with two cross-checked models, for independent and partly shared errors.</t>
  </si>
  <si>
    <t xml:space="preserve">Section 26.4, Worked Example 26.2, Figure 26.3</t>
  </si>
  <si>
    <t xml:space="preserve">Cost Monitoring</t>
  </si>
  <si>
    <t xml:space="preserve">Weekly cost of the median user and of a heavy automated client, their ratio, share of the bill and the alert threshold.</t>
  </si>
  <si>
    <t xml:space="preserve">Section 26.5, Worked Example 26.3</t>
  </si>
  <si>
    <t xml:space="preserve">AB Sample Size</t>
  </si>
  <si>
    <t xml:space="preserve">Rated answers per arm needed to detect a change in the thumbs-up rate, and the working days of traffic that takes at 200 and 2,000 users.</t>
  </si>
  <si>
    <t xml:space="preserve">Section 26.6, Worked Example 26.4</t>
  </si>
  <si>
    <t xml:space="preserve">Notes</t>
  </si>
  <si>
    <t xml:space="preserve">Prices are list prices in US$ per million tokens as assumed in the text (October 2026).</t>
  </si>
  <si>
    <t xml:space="preserve">The z values of the AB Sample Size sheet are computed from the confidence and power inputs with NORMSINV (1.960 and 0.842); the text rounds them to 1.96 and 0.84, which moves the sample size by under 0.2%.</t>
  </si>
  <si>
    <t xml:space="preserve">Calibrating an LLM Judge (Worked Example 26.1)</t>
  </si>
  <si>
    <t xml:space="preserve">Both acceptable (answers)</t>
  </si>
  <si>
    <t xml:space="preserve">Both unacceptable (answers)</t>
  </si>
  <si>
    <t xml:space="preserve">Judge acceptable, reviewer not (answers)</t>
  </si>
  <si>
    <t xml:space="preserve">Judge unacceptable, reviewer acceptable (answers)</t>
  </si>
  <si>
    <t xml:space="preserve">z for the kappa interval (95%)</t>
  </si>
  <si>
    <t xml:space="preserve">True improvement between two versions (points)</t>
  </si>
  <si>
    <t xml:space="preserve">Answers labeled</t>
  </si>
  <si>
    <t xml:space="preserve">Raw agreement</t>
  </si>
  <si>
    <t xml:space="preserve">   Value in the book</t>
  </si>
  <si>
    <t xml:space="preserve">Judge says acceptable (share)</t>
  </si>
  <si>
    <t xml:space="preserve">Reviewer says acceptable (share)</t>
  </si>
  <si>
    <t xml:space="preserve">Chance agreement</t>
  </si>
  <si>
    <t xml:space="preserve">Cohen's kappa</t>
  </si>
  <si>
    <t xml:space="preserve">Standard error of kappa (large-sample approximation)</t>
  </si>
  <si>
    <t xml:space="preserve">Kappa, lower 95% bound</t>
  </si>
  <si>
    <t xml:space="preserve">Kappa, upper 95% bound</t>
  </si>
  <si>
    <t xml:space="preserve">Leniency: judge rate minus reviewer rate (points)</t>
  </si>
  <si>
    <t xml:space="preserve">Sensitivity: reviewer-accepted answers the judge accepts</t>
  </si>
  <si>
    <t xml:space="preserve">Specificity: reviewer-rejected answers the judge rejects</t>
  </si>
  <si>
    <t xml:space="preserve">Answers a person would reject that the judge passes</t>
  </si>
  <si>
    <t xml:space="preserve">Measured share of a true difference (sensitivity + specificity − 1)</t>
  </si>
  <si>
    <t xml:space="preserve">Improvement as the judge measures it (points)</t>
  </si>
  <si>
    <t xml:space="preserve">Reading: good enough to compare versions that differ by more than a few points, if its leniency is the same for both; not good enough to certify an absolute quality level.</t>
  </si>
  <si>
    <t xml:space="preserve">The interval uses SE(κ) ≈ √(p_o(1 − p_o) ÷ (n(1 − p_e)²)); the text gives it as roughly 0.50–0.75.</t>
  </si>
  <si>
    <t xml:space="preserve">What a Second Model Buys (Worked Example 26.2)</t>
  </si>
  <si>
    <t xml:space="preserve">Factual questions per week</t>
  </si>
  <si>
    <t xml:space="preserve">Error rate of each model</t>
  </si>
  <si>
    <t xml:space="preserve">Share of each model's errors that are shared (case 2)</t>
  </si>
  <si>
    <t xml:space="preserve">Share of each model's errors that are shared (case 3)</t>
  </si>
  <si>
    <t xml:space="preserve">Review time per disagreement (minutes)</t>
  </si>
  <si>
    <t xml:space="preserve">One model</t>
  </si>
  <si>
    <t xml:space="preserve">Wrong answers per week</t>
  </si>
  <si>
    <t xml:space="preserve">Two models, independent errors</t>
  </si>
  <si>
    <t xml:space="preserve">Both wrong on the same question</t>
  </si>
  <si>
    <t xml:space="preserve">Undetected wrong answers per week (worst case: both wrong the same way)</t>
  </si>
  <si>
    <t xml:space="preserve">Reduction against one model (times)</t>
  </si>
  <si>
    <t xml:space="preserve">Exactly one model wrong (disagreements)</t>
  </si>
  <si>
    <t xml:space="preserve">Questions to review per week</t>
  </si>
  <si>
    <t xml:space="preserve">Review hours per week</t>
  </si>
  <si>
    <t xml:space="preserve">Two models, partly shared errors (case 2)</t>
  </si>
  <si>
    <t xml:space="preserve">Independent error rate of each model</t>
  </si>
  <si>
    <t xml:space="preserve">Undetected: shared + both independently wrong</t>
  </si>
  <si>
    <t xml:space="preserve">Undetected wrong answers per week</t>
  </si>
  <si>
    <t xml:space="preserve">Ratio to independent errors (times)</t>
  </si>
  <si>
    <t xml:space="preserve">Share of the one-model wrong answers removed</t>
  </si>
  <si>
    <t xml:space="preserve">Disagreements (as in the text: 2 × e_ind × (1 − e_ind))</t>
  </si>
  <si>
    <t xml:space="preserve">Two models, mostly shared errors (case 3)</t>
  </si>
  <si>
    <t xml:space="preserve">Reading: two independent models cut undetected errors roughly tenfold at the price of reviewing the disagreements; shared errors set the floor.</t>
  </si>
  <si>
    <t xml:space="preserve">Measure the shared share on the golden set: compare the share of questions both models get wrong with the product of their error rates.</t>
  </si>
  <si>
    <t xml:space="preserve">Monitoring Cost per User (Worked Example 26.3)</t>
  </si>
  <si>
    <t xml:space="preserve">Users</t>
  </si>
  <si>
    <t xml:space="preserve">Median user: requests per week</t>
  </si>
  <si>
    <t xml:space="preserve">Median user: input tokens per request</t>
  </si>
  <si>
    <t xml:space="preserve">Median user: output tokens per request</t>
  </si>
  <si>
    <t xml:space="preserve">Automated script: requests per week</t>
  </si>
  <si>
    <t xml:space="preserve">Automated script: input tokens per request</t>
  </si>
  <si>
    <t xml:space="preserve">Automated script: output tokens per request</t>
  </si>
  <si>
    <t xml:space="preserve">Cloud model input price (US$ per million tokens)</t>
  </si>
  <si>
    <t xml:space="preserve">Cloud model output price (US$ per million tokens)</t>
  </si>
  <si>
    <t xml:space="preserve">Alert: multiple of the median weekly cost</t>
  </si>
  <si>
    <t xml:space="preserve">Median user: cost per request (US$)</t>
  </si>
  <si>
    <t xml:space="preserve">Median user: cost per week (US$)</t>
  </si>
  <si>
    <t xml:space="preserve">Script: cost per request (US$)</t>
  </si>
  <si>
    <t xml:space="preserve">Script: cost per week (US$)</t>
  </si>
  <si>
    <t xml:space="preserve">Script cost as a multiple of the median user</t>
  </si>
  <si>
    <t xml:space="preserve">Other users at the median cost, per week (US$)</t>
  </si>
  <si>
    <t xml:space="preserve">Script share of the weekly bill</t>
  </si>
  <si>
    <t xml:space="preserve">more than half</t>
  </si>
  <si>
    <t xml:space="preserve">Alert threshold per user per week (US$)</t>
  </si>
  <si>
    <t xml:space="preserve">Script flagged by the rule?</t>
  </si>
  <si>
    <t xml:space="preserve">Reading: cost is concentrated; per-user and per-application attribution from traces finds the outliers that aggregate billing hides.</t>
  </si>
  <si>
    <t xml:space="preserve">Second alert rule of the text (not computed here): flag any day above twice the trailing daily average. Route automated clients to a separate key with its own quota.</t>
  </si>
  <si>
    <t xml:space="preserve">How Much Traffic an A/B Test Needs (Worked Example 26.4)</t>
  </si>
  <si>
    <t xml:space="preserve">Thumbs-up rate, control</t>
  </si>
  <si>
    <t xml:space="preserve">Thumbs-up rate, candidate</t>
  </si>
  <si>
    <t xml:space="preserve">Confidence (two-sided)</t>
  </si>
  <si>
    <t xml:space="preserve">Power</t>
  </si>
  <si>
    <t xml:space="preserve">Ratings per randomized user, m (1 = ratings independent)</t>
  </si>
  <si>
    <t xml:space="preserve">Correlation between one user's ratings, ρ</t>
  </si>
  <si>
    <t xml:space="preserve">Users (Worked Example 26.3)</t>
  </si>
  <si>
    <t xml:space="preserve">Requests per user per week (Worked Example 26.3)</t>
  </si>
  <si>
    <t xml:space="preserve">Working days per week</t>
  </si>
  <si>
    <t xml:space="preserve">Share of answers rated</t>
  </si>
  <si>
    <t xml:space="preserve">Arms</t>
  </si>
  <si>
    <t xml:space="preserve">Answers per working day at 2,000 users (Worked Example 30.3)</t>
  </si>
  <si>
    <t xml:space="preserve">z for the confidence level</t>
  </si>
  <si>
    <t xml:space="preserve">z for the power</t>
  </si>
  <si>
    <t xml:space="preserve">(z₁ + z₂)²</t>
  </si>
  <si>
    <t xml:space="preserve">p₁(1 − p₁) + p₂(1 − p₂)</t>
  </si>
  <si>
    <t xml:space="preserve">(p₂ − p₁)²</t>
  </si>
  <si>
    <t xml:space="preserve">Design effect 1 + (m − 1)ρ</t>
  </si>
  <si>
    <t xml:space="preserve">Rated answers per arm</t>
  </si>
  <si>
    <t xml:space="preserve">Answers per working day</t>
  </si>
  <si>
    <t xml:space="preserve">Ratings per working day</t>
  </si>
  <si>
    <t xml:space="preserve">Working days to fill all arms</t>
  </si>
  <si>
    <t xml:space="preserve">Half the detectable difference</t>
  </si>
  <si>
    <t xml:space="preserve">Candidate rate</t>
  </si>
  <si>
    <t xml:space="preserve">Working days at 200 users</t>
  </si>
  <si>
    <t xml:space="preserve">At the 2,000-user scale of Part VIII</t>
  </si>
  <si>
    <t xml:space="preserve">Working days, full difference</t>
  </si>
  <si>
    <t xml:space="preserve">under a day</t>
  </si>
  <si>
    <t xml:space="preserve">Working days, half the difference</t>
  </si>
  <si>
    <t xml:space="preserve">about 2.5</t>
  </si>
  <si>
    <t xml:space="preserve">Reading: at departmental scale user ratings detect only large improvements quickly; decide most changes offline on the golden set and reserve A/B tests for effects on real users.</t>
  </si>
  <si>
    <t xml:space="preserve">n ≈ (z₁ + z₂)² × [p₁(1 − p₁) + p₂(1 − p₂)] ÷ (p₂ − p₁)², multiplied by 1 + (m − 1)ρ when users are randomized and each gives m correlated ratings (the text gives no values for m and ρ).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</si>
</sst>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0.00"/>
    <numFmt numFmtId="167" formatCode="0.0"/>
    <numFmt numFmtId="168" formatCode="0.0%"/>
    <numFmt numFmtId="169" formatCode="0%"/>
    <numFmt numFmtId="170" formatCode="0.000"/>
    <numFmt numFmtId="171" formatCode="#,##0"/>
    <numFmt numFmtId="172" formatCode="0.00%"/>
    <numFmt numFmtId="173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A641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3"/>
      <color rgb="FF8A64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7EFDD"/>
        <bgColor rgb="FFFFF9E6"/>
      </patternFill>
    </fill>
    <fill>
      <patternFill patternType="solid">
        <fgColor rgb="FFFFF9E6"/>
        <bgColor rgb="FFF7EF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410"/>
      <rgbColor rgb="FF800080"/>
      <rgbColor rgb="FF008080"/>
      <rgbColor rgb="FFBFBFBF"/>
      <rgbColor rgb="FF808080"/>
      <rgbColor rgb="FF9999FF"/>
      <rgbColor rgb="FF993366"/>
      <rgbColor rgb="FFF7EF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5.75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</row>
    <row r="3" customFormat="false" ht="15" hidden="false" customHeight="true" outlineLevel="0" collapsed="false"/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30" hidden="false" customHeight="true" outlineLevel="0" collapsed="false">
      <c r="A5" s="4" t="s">
        <v>5</v>
      </c>
      <c r="B5" s="5" t="s">
        <v>6</v>
      </c>
      <c r="C5" s="5" t="s">
        <v>7</v>
      </c>
    </row>
    <row r="6" customFormat="false" ht="30" hidden="false" customHeight="true" outlineLevel="0" collapsed="false">
      <c r="A6" s="4" t="s">
        <v>8</v>
      </c>
      <c r="B6" s="5" t="s">
        <v>9</v>
      </c>
      <c r="C6" s="5" t="s">
        <v>10</v>
      </c>
    </row>
    <row r="7" customFormat="false" ht="30" hidden="false" customHeight="true" outlineLevel="0" collapsed="false">
      <c r="A7" s="4" t="s">
        <v>11</v>
      </c>
      <c r="B7" s="5" t="s">
        <v>12</v>
      </c>
      <c r="C7" s="5" t="s">
        <v>13</v>
      </c>
    </row>
    <row r="8" customFormat="false" ht="30" hidden="false" customHeight="true" outlineLevel="0" collapsed="false">
      <c r="A8" s="4" t="s">
        <v>14</v>
      </c>
      <c r="B8" s="5" t="s">
        <v>15</v>
      </c>
      <c r="C8" s="5" t="s">
        <v>16</v>
      </c>
    </row>
    <row r="10" customFormat="false" ht="15" hidden="false" customHeight="false" outlineLevel="0" collapsed="false">
      <c r="A10" s="6" t="s">
        <v>17</v>
      </c>
    </row>
    <row r="11" customFormat="false" ht="15" hidden="false" customHeight="true" outlineLevel="0" collapsed="false">
      <c r="A11" s="7" t="s">
        <v>18</v>
      </c>
      <c r="B11" s="7"/>
      <c r="C11" s="7"/>
    </row>
    <row r="12" customFormat="false" ht="30" hidden="false" customHeight="true" outlineLevel="0" collapsed="false">
      <c r="A12" s="7" t="s">
        <v>19</v>
      </c>
      <c r="B12" s="7"/>
      <c r="C12" s="7"/>
    </row>
  </sheetData>
  <mergeCells count="3">
    <mergeCell ref="A2:C2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5.75" hidden="false" customHeight="true" outlineLevel="0" collapsed="false">
      <c r="A1" s="8" t="s">
        <v>20</v>
      </c>
    </row>
    <row r="3" customFormat="false" ht="15" hidden="false" customHeight="true" outlineLevel="0" collapsed="false">
      <c r="A3" s="9" t="s">
        <v>21</v>
      </c>
      <c r="B3" s="10" t="n">
        <v>130</v>
      </c>
    </row>
    <row r="4" customFormat="false" ht="15" hidden="false" customHeight="true" outlineLevel="0" collapsed="false">
      <c r="A4" s="9" t="s">
        <v>22</v>
      </c>
      <c r="B4" s="10" t="n">
        <v>40</v>
      </c>
    </row>
    <row r="5" customFormat="false" ht="15" hidden="false" customHeight="true" outlineLevel="0" collapsed="false">
      <c r="A5" s="9" t="s">
        <v>23</v>
      </c>
      <c r="B5" s="10" t="n">
        <v>18</v>
      </c>
    </row>
    <row r="6" customFormat="false" ht="15" hidden="false" customHeight="true" outlineLevel="0" collapsed="false">
      <c r="A6" s="9" t="s">
        <v>24</v>
      </c>
      <c r="B6" s="10" t="n">
        <v>12</v>
      </c>
    </row>
    <row r="7" customFormat="false" ht="15" hidden="false" customHeight="true" outlineLevel="0" collapsed="false">
      <c r="A7" s="9" t="s">
        <v>25</v>
      </c>
      <c r="B7" s="11" t="n">
        <v>1.96</v>
      </c>
    </row>
    <row r="8" customFormat="false" ht="15" hidden="false" customHeight="true" outlineLevel="0" collapsed="false">
      <c r="A8" s="9" t="s">
        <v>26</v>
      </c>
      <c r="B8" s="12" t="n">
        <v>5</v>
      </c>
    </row>
    <row r="10" customFormat="false" ht="15" hidden="false" customHeight="true" outlineLevel="0" collapsed="false">
      <c r="A10" s="13" t="s">
        <v>27</v>
      </c>
      <c r="B10" s="14" t="n">
        <f aca="false">B3+B4+B5+B6</f>
        <v>200</v>
      </c>
    </row>
    <row r="11" customFormat="false" ht="15" hidden="false" customHeight="true" outlineLevel="0" collapsed="false">
      <c r="A11" s="13" t="s">
        <v>28</v>
      </c>
      <c r="B11" s="15" t="n">
        <f aca="false">(B3+B4)/B10</f>
        <v>0.85</v>
      </c>
    </row>
    <row r="12" customFormat="false" ht="15" hidden="false" customHeight="true" outlineLevel="0" collapsed="false">
      <c r="A12" s="16" t="s">
        <v>29</v>
      </c>
      <c r="B12" s="17" t="n">
        <v>0.85</v>
      </c>
    </row>
    <row r="13" customFormat="false" ht="15" hidden="false" customHeight="true" outlineLevel="0" collapsed="false">
      <c r="A13" s="13" t="s">
        <v>30</v>
      </c>
      <c r="B13" s="15" t="n">
        <f aca="false">(B3+B5)/B10</f>
        <v>0.74</v>
      </c>
    </row>
    <row r="14" customFormat="false" ht="15" hidden="false" customHeight="true" outlineLevel="0" collapsed="false">
      <c r="A14" s="16" t="s">
        <v>29</v>
      </c>
      <c r="B14" s="17" t="n">
        <v>0.74</v>
      </c>
    </row>
    <row r="15" customFormat="false" ht="15" hidden="false" customHeight="true" outlineLevel="0" collapsed="false">
      <c r="A15" s="13" t="s">
        <v>31</v>
      </c>
      <c r="B15" s="15" t="n">
        <f aca="false">(B3+B6)/B10</f>
        <v>0.71</v>
      </c>
    </row>
    <row r="16" customFormat="false" ht="15" hidden="false" customHeight="true" outlineLevel="0" collapsed="false">
      <c r="A16" s="16" t="s">
        <v>29</v>
      </c>
      <c r="B16" s="17" t="n">
        <v>0.71</v>
      </c>
    </row>
    <row r="17" customFormat="false" ht="15" hidden="false" customHeight="true" outlineLevel="0" collapsed="false">
      <c r="A17" s="13" t="s">
        <v>32</v>
      </c>
      <c r="B17" s="18" t="n">
        <f aca="false">B13*B15+(1-B13)*(1-B15)</f>
        <v>0.6008</v>
      </c>
    </row>
    <row r="18" customFormat="false" ht="15" hidden="false" customHeight="true" outlineLevel="0" collapsed="false">
      <c r="A18" s="16" t="s">
        <v>29</v>
      </c>
      <c r="B18" s="19" t="n">
        <v>0.601</v>
      </c>
    </row>
    <row r="19" customFormat="false" ht="15" hidden="false" customHeight="true" outlineLevel="0" collapsed="false">
      <c r="A19" s="13" t="s">
        <v>33</v>
      </c>
      <c r="B19" s="20" t="n">
        <f aca="false">(B11-B17)/(1-B17)</f>
        <v>0.624248496993988</v>
      </c>
    </row>
    <row r="20" customFormat="false" ht="15" hidden="false" customHeight="true" outlineLevel="0" collapsed="false">
      <c r="A20" s="16" t="s">
        <v>29</v>
      </c>
      <c r="B20" s="21" t="n">
        <v>0.62</v>
      </c>
    </row>
    <row r="21" customFormat="false" ht="15" hidden="false" customHeight="true" outlineLevel="0" collapsed="false">
      <c r="A21" s="13" t="s">
        <v>34</v>
      </c>
      <c r="B21" s="18" t="n">
        <f aca="false">SQRT(B11*(1-B11)/(B10*(1-B17)^2))</f>
        <v>0.0632484026701032</v>
      </c>
    </row>
    <row r="22" customFormat="false" ht="15" hidden="false" customHeight="true" outlineLevel="0" collapsed="false">
      <c r="A22" s="13" t="s">
        <v>35</v>
      </c>
      <c r="B22" s="20" t="n">
        <f aca="false">B19-B7*B21</f>
        <v>0.500281627760586</v>
      </c>
    </row>
    <row r="23" customFormat="false" ht="15" hidden="false" customHeight="true" outlineLevel="0" collapsed="false">
      <c r="A23" s="16" t="s">
        <v>29</v>
      </c>
      <c r="B23" s="21" t="n">
        <v>0.5</v>
      </c>
    </row>
    <row r="24" customFormat="false" ht="15" hidden="false" customHeight="true" outlineLevel="0" collapsed="false">
      <c r="A24" s="13" t="s">
        <v>36</v>
      </c>
      <c r="B24" s="20" t="n">
        <f aca="false">B19+B7*B21</f>
        <v>0.74821536622739</v>
      </c>
    </row>
    <row r="25" customFormat="false" ht="15" hidden="false" customHeight="true" outlineLevel="0" collapsed="false">
      <c r="A25" s="16" t="s">
        <v>29</v>
      </c>
      <c r="B25" s="21" t="n">
        <v>0.75</v>
      </c>
    </row>
    <row r="26" customFormat="false" ht="15" hidden="false" customHeight="true" outlineLevel="0" collapsed="false">
      <c r="A26" s="13" t="s">
        <v>37</v>
      </c>
      <c r="B26" s="22" t="n">
        <f aca="false">(B13-B15)*100</f>
        <v>3</v>
      </c>
    </row>
    <row r="27" customFormat="false" ht="15" hidden="false" customHeight="true" outlineLevel="0" collapsed="false">
      <c r="A27" s="16" t="s">
        <v>29</v>
      </c>
      <c r="B27" s="23" t="n">
        <v>3</v>
      </c>
    </row>
    <row r="28" customFormat="false" ht="15" hidden="false" customHeight="true" outlineLevel="0" collapsed="false">
      <c r="A28" s="13" t="s">
        <v>38</v>
      </c>
      <c r="B28" s="15" t="n">
        <f aca="false">B3/(B3+B6)</f>
        <v>0.915492957746479</v>
      </c>
    </row>
    <row r="29" customFormat="false" ht="15" hidden="false" customHeight="true" outlineLevel="0" collapsed="false">
      <c r="A29" s="16" t="s">
        <v>29</v>
      </c>
      <c r="B29" s="17" t="n">
        <v>0.92</v>
      </c>
    </row>
    <row r="30" customFormat="false" ht="15" hidden="false" customHeight="true" outlineLevel="0" collapsed="false">
      <c r="A30" s="13" t="s">
        <v>39</v>
      </c>
      <c r="B30" s="15" t="n">
        <f aca="false">B4/(B4+B5)</f>
        <v>0.689655172413793</v>
      </c>
    </row>
    <row r="31" customFormat="false" ht="15" hidden="false" customHeight="true" outlineLevel="0" collapsed="false">
      <c r="A31" s="16" t="s">
        <v>29</v>
      </c>
      <c r="B31" s="17" t="n">
        <v>0.69</v>
      </c>
    </row>
    <row r="32" customFormat="false" ht="15" hidden="false" customHeight="true" outlineLevel="0" collapsed="false">
      <c r="A32" s="13" t="s">
        <v>40</v>
      </c>
      <c r="B32" s="15" t="n">
        <f aca="false">1-B30</f>
        <v>0.310344827586207</v>
      </c>
    </row>
    <row r="33" customFormat="false" ht="15" hidden="false" customHeight="true" outlineLevel="0" collapsed="false">
      <c r="A33" s="16" t="s">
        <v>29</v>
      </c>
      <c r="B33" s="17" t="n">
        <v>0.31</v>
      </c>
    </row>
    <row r="34" customFormat="false" ht="15" hidden="false" customHeight="true" outlineLevel="0" collapsed="false">
      <c r="A34" s="13" t="s">
        <v>41</v>
      </c>
      <c r="B34" s="20" t="n">
        <f aca="false">B28+B30-1</f>
        <v>0.605148130160272</v>
      </c>
    </row>
    <row r="35" customFormat="false" ht="15" hidden="false" customHeight="true" outlineLevel="0" collapsed="false">
      <c r="A35" s="16" t="s">
        <v>29</v>
      </c>
      <c r="B35" s="21" t="n">
        <v>0.61</v>
      </c>
    </row>
    <row r="36" customFormat="false" ht="15" hidden="false" customHeight="true" outlineLevel="0" collapsed="false">
      <c r="A36" s="13" t="s">
        <v>42</v>
      </c>
      <c r="B36" s="22" t="n">
        <f aca="false">B8*B34</f>
        <v>3.02574065080136</v>
      </c>
    </row>
    <row r="37" customFormat="false" ht="15" hidden="false" customHeight="true" outlineLevel="0" collapsed="false">
      <c r="A37" s="16" t="s">
        <v>29</v>
      </c>
      <c r="B37" s="23" t="n">
        <v>3</v>
      </c>
    </row>
    <row r="39" customFormat="false" ht="15" hidden="false" customHeight="true" outlineLevel="0" collapsed="false">
      <c r="A39" s="24" t="s">
        <v>43</v>
      </c>
    </row>
    <row r="40" customFormat="false" ht="15" hidden="false" customHeight="true" outlineLevel="0" collapsed="false">
      <c r="A40" s="24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5.75" hidden="false" customHeight="true" outlineLevel="0" collapsed="false">
      <c r="A1" s="8" t="s">
        <v>45</v>
      </c>
    </row>
    <row r="3" customFormat="false" ht="15" hidden="false" customHeight="true" outlineLevel="0" collapsed="false">
      <c r="A3" s="9" t="s">
        <v>46</v>
      </c>
      <c r="B3" s="25" t="n">
        <v>1000</v>
      </c>
    </row>
    <row r="4" customFormat="false" ht="15" hidden="false" customHeight="true" outlineLevel="0" collapsed="false">
      <c r="A4" s="9" t="s">
        <v>47</v>
      </c>
      <c r="B4" s="26" t="n">
        <v>0.08</v>
      </c>
    </row>
    <row r="5" customFormat="false" ht="15" hidden="false" customHeight="true" outlineLevel="0" collapsed="false">
      <c r="A5" s="9" t="s">
        <v>48</v>
      </c>
      <c r="B5" s="27" t="n">
        <v>0.3</v>
      </c>
    </row>
    <row r="6" customFormat="false" ht="15" hidden="false" customHeight="true" outlineLevel="0" collapsed="false">
      <c r="A6" s="9" t="s">
        <v>49</v>
      </c>
      <c r="B6" s="27" t="n">
        <v>0.7</v>
      </c>
    </row>
    <row r="7" customFormat="false" ht="15" hidden="false" customHeight="true" outlineLevel="0" collapsed="false">
      <c r="A7" s="9" t="s">
        <v>50</v>
      </c>
      <c r="B7" s="12" t="n">
        <v>3</v>
      </c>
    </row>
    <row r="9" customFormat="false" ht="15" hidden="false" customHeight="true" outlineLevel="0" collapsed="false">
      <c r="A9" s="6" t="s">
        <v>51</v>
      </c>
    </row>
    <row r="10" customFormat="false" ht="15" hidden="false" customHeight="true" outlineLevel="0" collapsed="false">
      <c r="A10" s="13" t="s">
        <v>52</v>
      </c>
      <c r="B10" s="22" t="n">
        <f aca="false">B3*B4</f>
        <v>80</v>
      </c>
    </row>
    <row r="11" customFormat="false" ht="15" hidden="false" customHeight="true" outlineLevel="0" collapsed="false">
      <c r="A11" s="16" t="s">
        <v>29</v>
      </c>
      <c r="B11" s="23" t="n">
        <v>80</v>
      </c>
    </row>
    <row r="12" customFormat="false" ht="15" hidden="false" customHeight="true" outlineLevel="0" collapsed="false">
      <c r="A12" s="6" t="s">
        <v>53</v>
      </c>
    </row>
    <row r="13" customFormat="false" ht="15" hidden="false" customHeight="true" outlineLevel="0" collapsed="false">
      <c r="A13" s="13" t="s">
        <v>54</v>
      </c>
      <c r="B13" s="28" t="n">
        <f aca="false">B4^2</f>
        <v>0.0064</v>
      </c>
    </row>
    <row r="14" customFormat="false" ht="15" hidden="false" customHeight="true" outlineLevel="0" collapsed="false">
      <c r="A14" s="16" t="s">
        <v>29</v>
      </c>
      <c r="B14" s="29" t="n">
        <v>0.0064</v>
      </c>
    </row>
    <row r="15" customFormat="false" ht="15" hidden="false" customHeight="true" outlineLevel="0" collapsed="false">
      <c r="A15" s="13" t="s">
        <v>55</v>
      </c>
      <c r="B15" s="22" t="n">
        <f aca="false">B3*B13</f>
        <v>6.4</v>
      </c>
    </row>
    <row r="16" customFormat="false" ht="15" hidden="false" customHeight="true" outlineLevel="0" collapsed="false">
      <c r="A16" s="16" t="s">
        <v>29</v>
      </c>
      <c r="B16" s="30" t="n">
        <v>6.4</v>
      </c>
    </row>
    <row r="17" customFormat="false" ht="15" hidden="false" customHeight="true" outlineLevel="0" collapsed="false">
      <c r="A17" s="13" t="s">
        <v>56</v>
      </c>
      <c r="B17" s="22" t="n">
        <f aca="false">B10/B15</f>
        <v>12.5</v>
      </c>
    </row>
    <row r="18" customFormat="false" ht="15" hidden="false" customHeight="true" outlineLevel="0" collapsed="false">
      <c r="A18" s="13" t="s">
        <v>57</v>
      </c>
      <c r="B18" s="15" t="n">
        <f aca="false">2*B4*(1-B4)</f>
        <v>0.1472</v>
      </c>
    </row>
    <row r="19" customFormat="false" ht="15" hidden="false" customHeight="true" outlineLevel="0" collapsed="false">
      <c r="A19" s="16" t="s">
        <v>29</v>
      </c>
      <c r="B19" s="31" t="n">
        <v>0.147</v>
      </c>
    </row>
    <row r="20" customFormat="false" ht="15" hidden="false" customHeight="true" outlineLevel="0" collapsed="false">
      <c r="A20" s="13" t="s">
        <v>58</v>
      </c>
      <c r="B20" s="32" t="n">
        <f aca="false">B3*B18</f>
        <v>147.2</v>
      </c>
    </row>
    <row r="21" customFormat="false" ht="15" hidden="false" customHeight="true" outlineLevel="0" collapsed="false">
      <c r="A21" s="16" t="s">
        <v>29</v>
      </c>
      <c r="B21" s="23" t="n">
        <v>147</v>
      </c>
    </row>
    <row r="22" customFormat="false" ht="15" hidden="false" customHeight="true" outlineLevel="0" collapsed="false">
      <c r="A22" s="13" t="s">
        <v>59</v>
      </c>
      <c r="B22" s="22" t="n">
        <f aca="false">B20*B7/60</f>
        <v>7.36</v>
      </c>
    </row>
    <row r="23" customFormat="false" ht="15" hidden="false" customHeight="true" outlineLevel="0" collapsed="false">
      <c r="A23" s="16" t="s">
        <v>29</v>
      </c>
      <c r="B23" s="30" t="n">
        <v>7.4</v>
      </c>
    </row>
    <row r="24" customFormat="false" ht="15" hidden="false" customHeight="true" outlineLevel="0" collapsed="false">
      <c r="A24" s="6" t="s">
        <v>60</v>
      </c>
    </row>
    <row r="25" customFormat="false" ht="15" hidden="false" customHeight="true" outlineLevel="0" collapsed="false">
      <c r="A25" s="13" t="s">
        <v>61</v>
      </c>
      <c r="B25" s="15" t="n">
        <f aca="false">(1-B5)*B4</f>
        <v>0.056</v>
      </c>
    </row>
    <row r="26" customFormat="false" ht="15" hidden="false" customHeight="true" outlineLevel="0" collapsed="false">
      <c r="A26" s="16" t="s">
        <v>29</v>
      </c>
      <c r="B26" s="31" t="n">
        <v>0.056</v>
      </c>
    </row>
    <row r="27" customFormat="false" ht="15" hidden="false" customHeight="true" outlineLevel="0" collapsed="false">
      <c r="A27" s="13" t="s">
        <v>62</v>
      </c>
      <c r="B27" s="28" t="n">
        <f aca="false">B5*B4+B25^2</f>
        <v>0.027136</v>
      </c>
    </row>
    <row r="28" customFormat="false" ht="15" hidden="false" customHeight="true" outlineLevel="0" collapsed="false">
      <c r="A28" s="16" t="s">
        <v>29</v>
      </c>
      <c r="B28" s="29" t="n">
        <v>0.0271</v>
      </c>
    </row>
    <row r="29" customFormat="false" ht="15" hidden="false" customHeight="true" outlineLevel="0" collapsed="false">
      <c r="A29" s="13" t="s">
        <v>63</v>
      </c>
      <c r="B29" s="22" t="n">
        <f aca="false">B3*B27</f>
        <v>27.136</v>
      </c>
    </row>
    <row r="30" customFormat="false" ht="15" hidden="false" customHeight="true" outlineLevel="0" collapsed="false">
      <c r="A30" s="16" t="s">
        <v>29</v>
      </c>
      <c r="B30" s="23" t="n">
        <v>27</v>
      </c>
    </row>
    <row r="31" customFormat="false" ht="15" hidden="false" customHeight="true" outlineLevel="0" collapsed="false">
      <c r="A31" s="13" t="s">
        <v>64</v>
      </c>
      <c r="B31" s="22" t="n">
        <f aca="false">B29/B15</f>
        <v>4.24</v>
      </c>
    </row>
    <row r="32" customFormat="false" ht="15" hidden="false" customHeight="true" outlineLevel="0" collapsed="false">
      <c r="A32" s="13" t="s">
        <v>65</v>
      </c>
      <c r="B32" s="33" t="n">
        <f aca="false">1-B29/B10</f>
        <v>0.6608</v>
      </c>
    </row>
    <row r="33" customFormat="false" ht="15" hidden="false" customHeight="true" outlineLevel="0" collapsed="false">
      <c r="A33" s="13" t="s">
        <v>66</v>
      </c>
      <c r="B33" s="15" t="n">
        <f aca="false">2*B25*(1-B25)</f>
        <v>0.105728</v>
      </c>
    </row>
    <row r="34" customFormat="false" ht="15" hidden="false" customHeight="true" outlineLevel="0" collapsed="false">
      <c r="A34" s="16" t="s">
        <v>29</v>
      </c>
      <c r="B34" s="31" t="n">
        <v>0.106</v>
      </c>
    </row>
    <row r="35" customFormat="false" ht="15" hidden="false" customHeight="true" outlineLevel="0" collapsed="false">
      <c r="A35" s="13" t="s">
        <v>58</v>
      </c>
      <c r="B35" s="32" t="n">
        <f aca="false">B3*B33</f>
        <v>105.728</v>
      </c>
    </row>
    <row r="36" customFormat="false" ht="15" hidden="false" customHeight="true" outlineLevel="0" collapsed="false">
      <c r="A36" s="16" t="s">
        <v>29</v>
      </c>
      <c r="B36" s="23" t="n">
        <v>106</v>
      </c>
    </row>
    <row r="37" customFormat="false" ht="15" hidden="false" customHeight="true" outlineLevel="0" collapsed="false">
      <c r="A37" s="13" t="s">
        <v>59</v>
      </c>
      <c r="B37" s="22" t="n">
        <f aca="false">B35*B7/60</f>
        <v>5.2864</v>
      </c>
    </row>
    <row r="38" customFormat="false" ht="15" hidden="false" customHeight="true" outlineLevel="0" collapsed="false">
      <c r="A38" s="16" t="s">
        <v>29</v>
      </c>
      <c r="B38" s="30" t="n">
        <v>5.3</v>
      </c>
    </row>
    <row r="39" customFormat="false" ht="15" hidden="false" customHeight="true" outlineLevel="0" collapsed="false">
      <c r="A39" s="6" t="s">
        <v>67</v>
      </c>
    </row>
    <row r="40" customFormat="false" ht="15" hidden="false" customHeight="true" outlineLevel="0" collapsed="false">
      <c r="A40" s="13" t="s">
        <v>63</v>
      </c>
      <c r="B40" s="22" t="n">
        <f aca="false">B3*(B6*B4+((1-B6)*B4)^2)</f>
        <v>56.576</v>
      </c>
    </row>
    <row r="41" customFormat="false" ht="15" hidden="false" customHeight="true" outlineLevel="0" collapsed="false">
      <c r="A41" s="16" t="s">
        <v>29</v>
      </c>
      <c r="B41" s="23" t="n">
        <v>57</v>
      </c>
    </row>
    <row r="43" customFormat="false" ht="15" hidden="false" customHeight="true" outlineLevel="0" collapsed="false">
      <c r="A43" s="24" t="s">
        <v>68</v>
      </c>
    </row>
    <row r="44" customFormat="false" ht="15" hidden="false" customHeight="true" outlineLevel="0" collapsed="false">
      <c r="A44" s="24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5.75" hidden="false" customHeight="true" outlineLevel="0" collapsed="false">
      <c r="A1" s="8" t="s">
        <v>70</v>
      </c>
    </row>
    <row r="3" customFormat="false" ht="15" hidden="false" customHeight="true" outlineLevel="0" collapsed="false">
      <c r="A3" s="9" t="s">
        <v>71</v>
      </c>
      <c r="B3" s="10" t="n">
        <v>200</v>
      </c>
    </row>
    <row r="4" customFormat="false" ht="15" hidden="false" customHeight="true" outlineLevel="0" collapsed="false">
      <c r="A4" s="9" t="s">
        <v>72</v>
      </c>
      <c r="B4" s="25" t="n">
        <v>160</v>
      </c>
    </row>
    <row r="5" customFormat="false" ht="15" hidden="false" customHeight="true" outlineLevel="0" collapsed="false">
      <c r="A5" s="9" t="s">
        <v>73</v>
      </c>
      <c r="B5" s="25" t="n">
        <v>6000</v>
      </c>
    </row>
    <row r="6" customFormat="false" ht="15" hidden="false" customHeight="true" outlineLevel="0" collapsed="false">
      <c r="A6" s="9" t="s">
        <v>74</v>
      </c>
      <c r="B6" s="25" t="n">
        <v>400</v>
      </c>
    </row>
    <row r="7" customFormat="false" ht="15" hidden="false" customHeight="true" outlineLevel="0" collapsed="false">
      <c r="A7" s="9" t="s">
        <v>75</v>
      </c>
      <c r="B7" s="25" t="n">
        <v>9000</v>
      </c>
    </row>
    <row r="8" customFormat="false" ht="15" hidden="false" customHeight="true" outlineLevel="0" collapsed="false">
      <c r="A8" s="9" t="s">
        <v>76</v>
      </c>
      <c r="B8" s="25" t="n">
        <v>30000</v>
      </c>
    </row>
    <row r="9" customFormat="false" ht="15" hidden="false" customHeight="true" outlineLevel="0" collapsed="false">
      <c r="A9" s="9" t="s">
        <v>77</v>
      </c>
      <c r="B9" s="25" t="n">
        <v>400</v>
      </c>
    </row>
    <row r="10" customFormat="false" ht="15" hidden="false" customHeight="true" outlineLevel="0" collapsed="false">
      <c r="A10" s="9" t="s">
        <v>78</v>
      </c>
      <c r="B10" s="11" t="n">
        <v>3</v>
      </c>
    </row>
    <row r="11" customFormat="false" ht="15" hidden="false" customHeight="true" outlineLevel="0" collapsed="false">
      <c r="A11" s="9" t="s">
        <v>79</v>
      </c>
      <c r="B11" s="11" t="n">
        <v>15</v>
      </c>
    </row>
    <row r="12" customFormat="false" ht="15" hidden="false" customHeight="true" outlineLevel="0" collapsed="false">
      <c r="A12" s="9" t="s">
        <v>80</v>
      </c>
      <c r="B12" s="10" t="n">
        <v>5</v>
      </c>
    </row>
    <row r="14" customFormat="false" ht="15" hidden="false" customHeight="true" outlineLevel="0" collapsed="false">
      <c r="A14" s="13" t="s">
        <v>81</v>
      </c>
      <c r="B14" s="18" t="n">
        <f aca="false">(B5*B10+B6*B11)/1000000</f>
        <v>0.024</v>
      </c>
    </row>
    <row r="15" customFormat="false" ht="15" hidden="false" customHeight="true" outlineLevel="0" collapsed="false">
      <c r="A15" s="16" t="s">
        <v>29</v>
      </c>
      <c r="B15" s="19" t="n">
        <v>0.024</v>
      </c>
    </row>
    <row r="16" customFormat="false" ht="15" hidden="false" customHeight="true" outlineLevel="0" collapsed="false">
      <c r="A16" s="13" t="s">
        <v>82</v>
      </c>
      <c r="B16" s="20" t="n">
        <f aca="false">B4*B14</f>
        <v>3.84</v>
      </c>
    </row>
    <row r="17" customFormat="false" ht="15" hidden="false" customHeight="true" outlineLevel="0" collapsed="false">
      <c r="A17" s="16" t="s">
        <v>29</v>
      </c>
      <c r="B17" s="21" t="n">
        <v>3.84</v>
      </c>
    </row>
    <row r="18" customFormat="false" ht="15" hidden="false" customHeight="true" outlineLevel="0" collapsed="false">
      <c r="A18" s="13" t="s">
        <v>83</v>
      </c>
      <c r="B18" s="18" t="n">
        <f aca="false">(B8*B10+B9*B11)/1000000</f>
        <v>0.096</v>
      </c>
    </row>
    <row r="19" customFormat="false" ht="15" hidden="false" customHeight="true" outlineLevel="0" collapsed="false">
      <c r="A19" s="16" t="s">
        <v>29</v>
      </c>
      <c r="B19" s="19" t="n">
        <v>0.096</v>
      </c>
    </row>
    <row r="20" customFormat="false" ht="15" hidden="false" customHeight="true" outlineLevel="0" collapsed="false">
      <c r="A20" s="13" t="s">
        <v>84</v>
      </c>
      <c r="B20" s="32" t="n">
        <f aca="false">B7*B18</f>
        <v>864</v>
      </c>
    </row>
    <row r="21" customFormat="false" ht="15" hidden="false" customHeight="true" outlineLevel="0" collapsed="false">
      <c r="A21" s="16" t="s">
        <v>29</v>
      </c>
      <c r="B21" s="34" t="n">
        <v>864</v>
      </c>
    </row>
    <row r="22" customFormat="false" ht="15" hidden="false" customHeight="true" outlineLevel="0" collapsed="false">
      <c r="A22" s="13" t="s">
        <v>85</v>
      </c>
      <c r="B22" s="14" t="n">
        <f aca="false">B20/B16</f>
        <v>225</v>
      </c>
    </row>
    <row r="23" customFormat="false" ht="15" hidden="false" customHeight="true" outlineLevel="0" collapsed="false">
      <c r="A23" s="16" t="s">
        <v>29</v>
      </c>
      <c r="B23" s="23" t="n">
        <v>225</v>
      </c>
    </row>
    <row r="24" customFormat="false" ht="15" hidden="false" customHeight="true" outlineLevel="0" collapsed="false">
      <c r="A24" s="13" t="s">
        <v>86</v>
      </c>
      <c r="B24" s="32" t="n">
        <f aca="false">(B3-1)*B16</f>
        <v>764.16</v>
      </c>
    </row>
    <row r="25" customFormat="false" ht="15" hidden="false" customHeight="true" outlineLevel="0" collapsed="false">
      <c r="A25" s="16" t="s">
        <v>29</v>
      </c>
      <c r="B25" s="34" t="n">
        <v>764</v>
      </c>
    </row>
    <row r="26" customFormat="false" ht="15" hidden="false" customHeight="true" outlineLevel="0" collapsed="false">
      <c r="A26" s="13" t="s">
        <v>87</v>
      </c>
      <c r="B26" s="33" t="n">
        <f aca="false">B20/(B20+B24)</f>
        <v>0.530660377358491</v>
      </c>
    </row>
    <row r="27" customFormat="false" ht="15" hidden="false" customHeight="true" outlineLevel="0" collapsed="false">
      <c r="A27" s="16" t="s">
        <v>29</v>
      </c>
      <c r="B27" s="16" t="s">
        <v>88</v>
      </c>
    </row>
    <row r="28" customFormat="false" ht="15" hidden="false" customHeight="true" outlineLevel="0" collapsed="false">
      <c r="A28" s="13" t="s">
        <v>89</v>
      </c>
      <c r="B28" s="20" t="n">
        <f aca="false">B12*B16</f>
        <v>19.2</v>
      </c>
    </row>
    <row r="29" customFormat="false" ht="15" hidden="false" customHeight="true" outlineLevel="0" collapsed="false">
      <c r="A29" s="13" t="s">
        <v>90</v>
      </c>
      <c r="B29" s="13" t="str">
        <f aca="false">IF(B20&gt;B28,"yes","no")</f>
        <v>yes</v>
      </c>
    </row>
    <row r="31" customFormat="false" ht="15" hidden="false" customHeight="true" outlineLevel="0" collapsed="false">
      <c r="A31" s="24" t="s">
        <v>91</v>
      </c>
    </row>
    <row r="32" customFormat="false" ht="15" hidden="false" customHeight="true" outlineLevel="0" collapsed="false">
      <c r="A32" s="24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5.75" hidden="false" customHeight="true" outlineLevel="0" collapsed="false">
      <c r="A1" s="8" t="s">
        <v>93</v>
      </c>
    </row>
    <row r="3" customFormat="false" ht="15" hidden="false" customHeight="true" outlineLevel="0" collapsed="false">
      <c r="A3" s="9" t="s">
        <v>94</v>
      </c>
      <c r="B3" s="26" t="n">
        <v>0.7</v>
      </c>
    </row>
    <row r="4" customFormat="false" ht="15" hidden="false" customHeight="true" outlineLevel="0" collapsed="false">
      <c r="A4" s="9" t="s">
        <v>95</v>
      </c>
      <c r="B4" s="26" t="n">
        <v>0.73</v>
      </c>
    </row>
    <row r="5" customFormat="false" ht="15" hidden="false" customHeight="true" outlineLevel="0" collapsed="false">
      <c r="A5" s="9" t="s">
        <v>96</v>
      </c>
      <c r="B5" s="27" t="n">
        <v>0.95</v>
      </c>
    </row>
    <row r="6" customFormat="false" ht="15" hidden="false" customHeight="true" outlineLevel="0" collapsed="false">
      <c r="A6" s="9" t="s">
        <v>97</v>
      </c>
      <c r="B6" s="27" t="n">
        <v>0.8</v>
      </c>
    </row>
    <row r="7" customFormat="false" ht="15" hidden="false" customHeight="true" outlineLevel="0" collapsed="false">
      <c r="A7" s="9" t="s">
        <v>98</v>
      </c>
      <c r="B7" s="10" t="n">
        <v>1</v>
      </c>
    </row>
    <row r="8" customFormat="false" ht="15" hidden="false" customHeight="true" outlineLevel="0" collapsed="false">
      <c r="A8" s="9" t="s">
        <v>99</v>
      </c>
      <c r="B8" s="11" t="n">
        <v>0</v>
      </c>
    </row>
    <row r="9" customFormat="false" ht="15" hidden="false" customHeight="true" outlineLevel="0" collapsed="false">
      <c r="A9" s="9" t="s">
        <v>100</v>
      </c>
      <c r="B9" s="25" t="n">
        <v>200</v>
      </c>
    </row>
    <row r="10" customFormat="false" ht="15" hidden="false" customHeight="true" outlineLevel="0" collapsed="false">
      <c r="A10" s="9" t="s">
        <v>101</v>
      </c>
      <c r="B10" s="25" t="n">
        <v>160</v>
      </c>
    </row>
    <row r="11" customFormat="false" ht="15" hidden="false" customHeight="true" outlineLevel="0" collapsed="false">
      <c r="A11" s="9" t="s">
        <v>102</v>
      </c>
      <c r="B11" s="10" t="n">
        <v>5</v>
      </c>
    </row>
    <row r="12" customFormat="false" ht="15" hidden="false" customHeight="true" outlineLevel="0" collapsed="false">
      <c r="A12" s="9" t="s">
        <v>103</v>
      </c>
      <c r="B12" s="27" t="n">
        <v>0.15</v>
      </c>
    </row>
    <row r="13" customFormat="false" ht="15" hidden="false" customHeight="true" outlineLevel="0" collapsed="false">
      <c r="A13" s="9" t="s">
        <v>104</v>
      </c>
      <c r="B13" s="10" t="n">
        <v>2</v>
      </c>
    </row>
    <row r="14" customFormat="false" ht="15" hidden="false" customHeight="true" outlineLevel="0" collapsed="false">
      <c r="A14" s="9" t="s">
        <v>105</v>
      </c>
      <c r="B14" s="25" t="n">
        <v>80000</v>
      </c>
    </row>
    <row r="16" customFormat="false" ht="15" hidden="false" customHeight="true" outlineLevel="0" collapsed="false">
      <c r="A16" s="13" t="s">
        <v>106</v>
      </c>
      <c r="B16" s="18" t="n">
        <f aca="false">NORMSINV(1-(1-B5)/2)</f>
        <v>1.95996398454005</v>
      </c>
    </row>
    <row r="17" customFormat="false" ht="15" hidden="false" customHeight="true" outlineLevel="0" collapsed="false">
      <c r="A17" s="16" t="s">
        <v>29</v>
      </c>
      <c r="B17" s="21" t="n">
        <v>1.96</v>
      </c>
    </row>
    <row r="18" customFormat="false" ht="15" hidden="false" customHeight="true" outlineLevel="0" collapsed="false">
      <c r="A18" s="13" t="s">
        <v>107</v>
      </c>
      <c r="B18" s="18" t="n">
        <f aca="false">NORMSINV(B6)</f>
        <v>0.841621233572914</v>
      </c>
    </row>
    <row r="19" customFormat="false" ht="15" hidden="false" customHeight="true" outlineLevel="0" collapsed="false">
      <c r="A19" s="16" t="s">
        <v>29</v>
      </c>
      <c r="B19" s="21" t="n">
        <v>0.84</v>
      </c>
    </row>
    <row r="20" customFormat="false" ht="15" hidden="false" customHeight="true" outlineLevel="0" collapsed="false">
      <c r="A20" s="13" t="s">
        <v>108</v>
      </c>
      <c r="B20" s="20" t="n">
        <f aca="false">(B16+B18)^2</f>
        <v>7.84887973434909</v>
      </c>
    </row>
    <row r="21" customFormat="false" ht="15" hidden="false" customHeight="true" outlineLevel="0" collapsed="false">
      <c r="A21" s="16" t="s">
        <v>29</v>
      </c>
      <c r="B21" s="21" t="n">
        <v>7.84</v>
      </c>
    </row>
    <row r="22" customFormat="false" ht="15" hidden="false" customHeight="true" outlineLevel="0" collapsed="false">
      <c r="A22" s="13" t="s">
        <v>109</v>
      </c>
      <c r="B22" s="18" t="n">
        <f aca="false">B3*(1-B3)+B4*(1-B4)</f>
        <v>0.4071</v>
      </c>
    </row>
    <row r="23" customFormat="false" ht="15" hidden="false" customHeight="true" outlineLevel="0" collapsed="false">
      <c r="A23" s="16" t="s">
        <v>29</v>
      </c>
      <c r="B23" s="19" t="n">
        <v>0.407</v>
      </c>
    </row>
    <row r="24" customFormat="false" ht="15" hidden="false" customHeight="true" outlineLevel="0" collapsed="false">
      <c r="A24" s="13" t="s">
        <v>110</v>
      </c>
      <c r="B24" s="35" t="n">
        <f aca="false">(B4-B3)^2</f>
        <v>0.000900000000000002</v>
      </c>
    </row>
    <row r="25" customFormat="false" ht="15" hidden="false" customHeight="true" outlineLevel="0" collapsed="false">
      <c r="A25" s="16" t="s">
        <v>29</v>
      </c>
      <c r="B25" s="36" t="n">
        <v>0.0009</v>
      </c>
    </row>
    <row r="26" customFormat="false" ht="15" hidden="false" customHeight="true" outlineLevel="0" collapsed="false">
      <c r="A26" s="13" t="s">
        <v>111</v>
      </c>
      <c r="B26" s="20" t="n">
        <f aca="false">1+(B7-1)*B8</f>
        <v>1</v>
      </c>
    </row>
    <row r="27" customFormat="false" ht="15" hidden="false" customHeight="true" outlineLevel="0" collapsed="false">
      <c r="A27" s="13" t="s">
        <v>112</v>
      </c>
      <c r="B27" s="32" t="n">
        <f aca="false">ROUNDUP(B20*B22/B24*B26,0)</f>
        <v>3551</v>
      </c>
    </row>
    <row r="28" customFormat="false" ht="15" hidden="false" customHeight="true" outlineLevel="0" collapsed="false">
      <c r="A28" s="16" t="s">
        <v>29</v>
      </c>
      <c r="B28" s="34" t="n">
        <v>3550</v>
      </c>
    </row>
    <row r="29" customFormat="false" ht="15" hidden="false" customHeight="true" outlineLevel="0" collapsed="false">
      <c r="A29" s="13" t="s">
        <v>113</v>
      </c>
      <c r="B29" s="32" t="n">
        <f aca="false">B9*B10/B11</f>
        <v>6400</v>
      </c>
    </row>
    <row r="30" customFormat="false" ht="15" hidden="false" customHeight="true" outlineLevel="0" collapsed="false">
      <c r="A30" s="16" t="s">
        <v>29</v>
      </c>
      <c r="B30" s="34" t="n">
        <v>6400</v>
      </c>
    </row>
    <row r="31" customFormat="false" ht="15" hidden="false" customHeight="true" outlineLevel="0" collapsed="false">
      <c r="A31" s="13" t="s">
        <v>114</v>
      </c>
      <c r="B31" s="32" t="n">
        <f aca="false">B29*B12</f>
        <v>960</v>
      </c>
    </row>
    <row r="32" customFormat="false" ht="15" hidden="false" customHeight="true" outlineLevel="0" collapsed="false">
      <c r="A32" s="16" t="s">
        <v>29</v>
      </c>
      <c r="B32" s="34" t="n">
        <v>960</v>
      </c>
    </row>
    <row r="33" customFormat="false" ht="15" hidden="false" customHeight="true" outlineLevel="0" collapsed="false">
      <c r="A33" s="13" t="s">
        <v>115</v>
      </c>
      <c r="B33" s="22" t="n">
        <f aca="false">B13*B27/B31</f>
        <v>7.39791666666667</v>
      </c>
    </row>
    <row r="34" customFormat="false" ht="15" hidden="false" customHeight="true" outlineLevel="0" collapsed="false">
      <c r="A34" s="16" t="s">
        <v>29</v>
      </c>
      <c r="B34" s="30" t="n">
        <v>7.4</v>
      </c>
    </row>
    <row r="35" customFormat="false" ht="15" hidden="false" customHeight="true" outlineLevel="0" collapsed="false">
      <c r="A35" s="6" t="s">
        <v>116</v>
      </c>
    </row>
    <row r="36" customFormat="false" ht="15" hidden="false" customHeight="true" outlineLevel="0" collapsed="false">
      <c r="A36" s="13" t="s">
        <v>117</v>
      </c>
      <c r="B36" s="28" t="n">
        <f aca="false">B3+(B4-B3)/2</f>
        <v>0.715</v>
      </c>
    </row>
    <row r="37" customFormat="false" ht="15" hidden="false" customHeight="true" outlineLevel="0" collapsed="false">
      <c r="A37" s="13" t="s">
        <v>112</v>
      </c>
      <c r="B37" s="32" t="n">
        <f aca="false">ROUNDUP(B20*(B3*(1-B3)+B36*(1-B36))/(B36-B3)^2*B26,0)</f>
        <v>14435</v>
      </c>
    </row>
    <row r="38" customFormat="false" ht="15" hidden="false" customHeight="true" outlineLevel="0" collapsed="false">
      <c r="A38" s="16" t="s">
        <v>29</v>
      </c>
      <c r="B38" s="34" t="n">
        <v>14400</v>
      </c>
    </row>
    <row r="39" customFormat="false" ht="15" hidden="false" customHeight="true" outlineLevel="0" collapsed="false">
      <c r="A39" s="13" t="s">
        <v>118</v>
      </c>
      <c r="B39" s="22" t="n">
        <f aca="false">B13*B37/B31</f>
        <v>30.0729166666667</v>
      </c>
    </row>
    <row r="40" customFormat="false" ht="15" hidden="false" customHeight="true" outlineLevel="0" collapsed="false">
      <c r="A40" s="16" t="s">
        <v>29</v>
      </c>
      <c r="B40" s="23" t="n">
        <v>30</v>
      </c>
    </row>
    <row r="41" customFormat="false" ht="15" hidden="false" customHeight="true" outlineLevel="0" collapsed="false">
      <c r="A41" s="6" t="s">
        <v>119</v>
      </c>
    </row>
    <row r="42" customFormat="false" ht="15" hidden="false" customHeight="true" outlineLevel="0" collapsed="false">
      <c r="A42" s="13" t="s">
        <v>120</v>
      </c>
      <c r="B42" s="20" t="n">
        <f aca="false">B13*B27/(B14*B12)</f>
        <v>0.591833333333333</v>
      </c>
    </row>
    <row r="43" customFormat="false" ht="15" hidden="false" customHeight="true" outlineLevel="0" collapsed="false">
      <c r="A43" s="16" t="s">
        <v>29</v>
      </c>
      <c r="B43" s="16" t="s">
        <v>121</v>
      </c>
    </row>
    <row r="44" customFormat="false" ht="15" hidden="false" customHeight="true" outlineLevel="0" collapsed="false">
      <c r="A44" s="13" t="s">
        <v>122</v>
      </c>
      <c r="B44" s="20" t="n">
        <f aca="false">B13*B37/(B14*B12)</f>
        <v>2.40583333333333</v>
      </c>
    </row>
    <row r="45" customFormat="false" ht="15" hidden="false" customHeight="true" outlineLevel="0" collapsed="false">
      <c r="A45" s="16" t="s">
        <v>29</v>
      </c>
      <c r="B45" s="16" t="s">
        <v>123</v>
      </c>
    </row>
    <row r="47" customFormat="false" ht="15" hidden="false" customHeight="true" outlineLevel="0" collapsed="false">
      <c r="A47" s="24" t="s">
        <v>124</v>
      </c>
    </row>
    <row r="48" customFormat="false" ht="15" hidden="false" customHeight="true" outlineLevel="0" collapsed="false">
      <c r="A48" s="24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2026-10-26T13:20:09Z</dcterms:created>
  <dc:creator>openpyxl</dc:creator>
  <dc:description/>
  <dc:language>en-US</dc:language>
  <cp:lastModifiedBy/>
  <dcterms:modified xsi:type="dcterms:W3CDTF">2026-10-26T13:20:09Z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