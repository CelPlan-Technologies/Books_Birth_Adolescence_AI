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Latency Budget" sheetId="2" state="visible" r:id="rId4"/>
    <sheet name="Routing Matrix" sheetId="3" state="visible" r:id="rId5"/>
    <sheet name="Sizing" sheetId="4" state="visible" r:id="rId6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<sst xmlns="http://schemas.openxmlformats.org/spreadsheetml/2006/main" count="252" uniqueCount="204">
  <si>
    <t xml:space="preserve">Chapter 30 — Designing the Hybrid Architecture</t>
  </si>
  <si>
    <t xml:space="preserve">Companion workbook of The Birth and Adolescence of Artificial Intelligence, Volume 2,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</si>
  <si>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</si>
  <si>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</si>
  <si>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</si>
  <si>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Latency Budget</t>
  </si>
  <si>
    <t xml:space="preserve">Time to first token of a corporate RAG answer from gateway, retrieval and prefill at peak load, against the restated targets of Table 30.2.</t>
  </si>
  <si>
    <t xml:space="preserve">Section 30.1, Table 30.2, Worked Example 30.1</t>
  </si>
  <si>
    <t xml:space="preserve">Routing Matrix</t>
  </si>
  <si>
    <t xml:space="preserve">The example policy of Table 30.5 and the decision for each destination when a call carries several classes: the most restrictive wins.</t>
  </si>
  <si>
    <t xml:space="preserve">Section 30.3, Tables 30.4 and 30.5, Listing 30.1, Worked Example 30.2</t>
  </si>
  <si>
    <t xml:space="preserve">Sizing</t>
  </si>
  <si>
    <t xml:space="preserve">Rack GPUs from demand, routing shares, throughput per GPU and the planning limit; degraded mode, sensitivity and the cloud budget.</t>
  </si>
  <si>
    <t xml:space="preserve">Section 30.6, Worked Example 30.3, Figure 30.3</t>
  </si>
  <si>
    <t xml:space="preserve">Notes</t>
  </si>
  <si>
    <t xml:space="preserve">Throughput figures are estimates to be replaced by the measured goodput of Section 16.6; routing shares are planning assumptions to be replaced by the router's observed shares.</t>
  </si>
  <si>
    <t xml:space="preserve">The classification scheme and routing matrix are examples that need the organization's own legal, privacy and data-governance review.</t>
  </si>
  <si>
    <t xml:space="preserve">Prices in US$ as of October 2026 (Chapter 29).</t>
  </si>
  <si>
    <t xml:space="preserve">Why a Corporate RAG Answer Cannot Be Promised in 500 ms (Worked Example 30.1)</t>
  </si>
  <si>
    <t xml:space="preserve">Step (seconds)</t>
  </si>
  <si>
    <t xml:space="preserve">Low</t>
  </si>
  <si>
    <t xml:space="preserve">High</t>
  </si>
  <si>
    <t xml:space="preserve">Value in the book</t>
  </si>
  <si>
    <t xml:space="preserve">Gateway: authentication, classification and policy</t>
  </si>
  <si>
    <t xml:space="preserve">Embedding the query</t>
  </si>
  <si>
    <t xml:space="preserve">Searching the index</t>
  </si>
  <si>
    <t xml:space="preserve">Reranking 30 candidates at peak (two MIG slices; Table 33.3)</t>
  </si>
  <si>
    <t xml:space="preserve">Semantic firewall (0 for a local model; about 0.02 if the request leaves)</t>
  </si>
  <si>
    <t xml:space="preserve">Prefill</t>
  </si>
  <si>
    <t xml:space="preserve">Value</t>
  </si>
  <si>
    <t xml:space="preserve">Input tokens after retrieval</t>
  </si>
  <si>
    <t xml:space="preserve">Prefill throughput under load, planning figure (tokens/s)</t>
  </si>
  <si>
    <t xml:space="preserve">Targets (Table 30.2)</t>
  </si>
  <si>
    <t xml:space="preserve">Time to first token, p95, RAG chat (s)</t>
  </si>
  <si>
    <t xml:space="preserve">Visible feedback (s)</t>
  </si>
  <si>
    <t xml:space="preserve">Streaming speed per user (tokens/s)</t>
  </si>
  <si>
    <t xml:space="preserve">Results (seconds)</t>
  </si>
  <si>
    <t xml:space="preserve">Retrieval (embedding + search + rerank)</t>
  </si>
  <si>
    <t xml:space="preserve">0.35–0.65</t>
  </si>
  <si>
    <t xml:space="preserve">2.0</t>
  </si>
  <si>
    <t xml:space="preserve">Time to first token at peak load</t>
  </si>
  <si>
    <t xml:space="preserve">≈ 2.4–2.7</t>
  </si>
  <si>
    <t xml:space="preserve">Margin to the TTFT target</t>
  </si>
  <si>
    <t xml:space="preserve">little to spare</t>
  </si>
  <si>
    <t xml:space="preserve">Within the TTFT target?</t>
  </si>
  <si>
    <t xml:space="preserve">yes</t>
  </si>
  <si>
    <t xml:space="preserve">Within the original 500 ms target?</t>
  </si>
  <si>
    <t xml:space="preserve">no</t>
  </si>
  <si>
    <t xml:space="preserve">Largest prompt that 500 ms would allow at this prefill rate (tokens)</t>
  </si>
  <si>
    <t xml:space="preserve">Time per output token at the streaming target (ms)</t>
  </si>
  <si>
    <t xml:space="preserve">≤ 50</t>
  </si>
  <si>
    <t xml:space="preserve">Requests that need the web (illustration; not in the worked example)</t>
  </si>
  <si>
    <t xml:space="preserve">Web search</t>
  </si>
  <si>
    <t xml:space="preserve">Local rewrite of an Internal, Confidential or Personal query (Worked Example 35.1)</t>
  </si>
  <si>
    <t xml:space="preserve">Semantic firewall when the query leaves</t>
  </si>
  <si>
    <t xml:space="preserve">Time to first token with web search, rewrite first</t>
  </si>
  <si>
    <t xml:space="preserve">own, longer target</t>
  </si>
  <si>
    <t xml:space="preserve">Retrieval runs in parallel across the Box and Rack indexes; the text rounds 0.34–0.64 s to 0.35–0.65 s. Prefill at 4,000 tokens/s is a planning figure under load; an idle RTX PRO 6000 Server Edition prefills 8,000 tokens in about a second or less.</t>
  </si>
  <si>
    <t xml:space="preserve">The web rows assume the rewrite, web search and firewall run in sequence, in parallel with local retrieval; a Restricted query is not sent at all (Table 30.5). They show why web requests get their own target.</t>
  </si>
  <si>
    <t xml:space="preserve">Reading: the first token arrives in about 2.4–2.7 s at peak, within 3 s but with little to spare; 500 ms is reachable only for short prompts on small models. Show a status message within 0.5 s and stream at least 20 tokens/s.</t>
  </si>
  <si>
    <t xml:space="preserve">Labeling and Routing a Mixed Request (Worked Example 30.2)</t>
  </si>
  <si>
    <t xml:space="preserve">Decision codes: 1 = Allow, 2 = Transform, 3 = Deny. Entries with a condition are resolved with the switches of each call below.</t>
  </si>
  <si>
    <t xml:space="preserve">Table 30.5 — Routing matrix (example policy)</t>
  </si>
  <si>
    <t xml:space="preserve">Box model</t>
  </si>
  <si>
    <t xml:space="preserve">Rack model</t>
  </si>
  <si>
    <t xml:space="preserve">Cloud, enterprise contract</t>
  </si>
  <si>
    <t xml:space="preserve">Public web search</t>
  </si>
  <si>
    <t xml:space="preserve">Public (R1)</t>
  </si>
  <si>
    <t xml:space="preserve">Allow</t>
  </si>
  <si>
    <t xml:space="preserve">Internal (R2)</t>
  </si>
  <si>
    <t xml:space="preserve">Transform (generic query rewritten locally)</t>
  </si>
  <si>
    <t xml:space="preserve">Confidential (R3)</t>
  </si>
  <si>
    <t xml:space="preserve">Allow: the user's own data, and passages the user may read</t>
  </si>
  <si>
    <t xml:space="preserve">Transform for drafting tasks; otherwise deny</t>
  </si>
  <si>
    <t xml:space="preserve">Restricted (R4)</t>
  </si>
  <si>
    <t xml:space="preserve">Deny (not stored on Boxes)</t>
  </si>
  <si>
    <t xml:space="preserve">Allow, named users only</t>
  </si>
  <si>
    <t xml:space="preserve">Deny</t>
  </si>
  <si>
    <t xml:space="preserve">Personal (R5)</t>
  </si>
  <si>
    <t xml:space="preserve">Deny, unless the user shares it</t>
  </si>
  <si>
    <t xml:space="preserve">Deny, unless the user explicitly sends it</t>
  </si>
  <si>
    <t xml:space="preserve">Transform (generic query rewritten on the Box)</t>
  </si>
  <si>
    <t xml:space="preserve">Calls (Worked Example 30.2; 1 = yes, 0 = no)</t>
  </si>
  <si>
    <t xml:space="preserve">Call 1: compare the bid with the tender</t>
  </si>
  <si>
    <t xml:space="preserve">Call 2: draft the cover letter</t>
  </si>
  <si>
    <t xml:space="preserve">Public (R1) content present</t>
  </si>
  <si>
    <t xml:space="preserve">Internal (R2) content present</t>
  </si>
  <si>
    <t xml:space="preserve">Confidential (R3) content present</t>
  </si>
  <si>
    <t xml:space="preserve">Restricted (R4) content present</t>
  </si>
  <si>
    <t xml:space="preserve">Personal (R5) content present</t>
  </si>
  <si>
    <t xml:space="preserve">Drafting or rewriting task</t>
  </si>
  <si>
    <t xml:space="preserve">Confidential content is the user's own or readable by the user</t>
  </si>
  <si>
    <t xml:space="preserve">User is named for the Restricted items</t>
  </si>
  <si>
    <t xml:space="preserve">User shares the Personal items with the Rack</t>
  </si>
  <si>
    <t xml:space="preserve">User explicitly sends the Personal items to a cloud model</t>
  </si>
  <si>
    <t xml:space="preserve">Call 1: decision code for each class present (0 = class absent)</t>
  </si>
  <si>
    <t xml:space="preserve">Call 1: decision (most restrictive class present)</t>
  </si>
  <si>
    <t xml:space="preserve">Call 2: decision code for each class present (0 = class absent)</t>
  </si>
  <si>
    <t xml:space="preserve">Call 2: decision (most restrictive class present)</t>
  </si>
  <si>
    <t xml:space="preserve">Passages retrieved (Worked Example 30.2)</t>
  </si>
  <si>
    <t xml:space="preserve">Confidential passages (draft bid, Rack)</t>
  </si>
  <si>
    <t xml:space="preserve">Internal passages (pricing guideline, Rack)</t>
  </si>
  <si>
    <t xml:space="preserve">Public passages (tender document, Public index)</t>
  </si>
  <si>
    <t xml:space="preserve">Passages from the user's Box</t>
  </si>
  <si>
    <t xml:space="preserve">Decisions</t>
  </si>
  <si>
    <t xml:space="preserve">Workbook</t>
  </si>
  <si>
    <t xml:space="preserve">Passages in the audit record</t>
  </si>
  <si>
    <t xml:space="preserve">seven</t>
  </si>
  <si>
    <t xml:space="preserve">Call 1 (comparison) on the Rack model</t>
  </si>
  <si>
    <t xml:space="preserve">Call 1 (comparison) on a cloud model</t>
  </si>
  <si>
    <t xml:space="preserve">not allowed</t>
  </si>
  <si>
    <t xml:space="preserve">Call 2 (cover letter) on a cloud model</t>
  </si>
  <si>
    <t xml:space="preserve">after transformation</t>
  </si>
  <si>
    <t xml:space="preserve">Call 1: Confidential row at least as restrictive as Public and Internal in every column?</t>
  </si>
  <si>
    <t xml:space="preserve">Each call takes, for each destination, the most restrictive decision among the classes it carries (Listing 30.1: combine all_present_classes). An uncertain label adds every candidate class.</t>
  </si>
  <si>
    <t xml:space="preserve">Call 2 carries only the drafting instruction and the public requirements after the firewall, labeled R1 and R3 as in Listing 30.2; the bid's prices stay local and are inserted into the returned letter.</t>
  </si>
  <si>
    <t xml:space="preserve">Reading: one user request can produce several model calls in different tiers; the set of classes is decided per call, from what that call actually contains.</t>
  </si>
  <si>
    <t xml:space="preserve">How Many Rack GPUs? (Worked Example 30.3)</t>
  </si>
  <si>
    <t xml:space="preserve">Demand (Worked Example 29.3, Figure 30.3)</t>
  </si>
  <si>
    <t xml:space="preserve">Users</t>
  </si>
  <si>
    <t xml:space="preserve">Requests per user per working day</t>
  </si>
  <si>
    <t xml:space="preserve">Tokens per request (8,000 input + 1,000 output)</t>
  </si>
  <si>
    <t xml:space="preserve">Working hours (08:00–18:00)</t>
  </si>
  <si>
    <t xml:space="preserve">Share of the day in the busiest hour</t>
  </si>
  <si>
    <t xml:space="preserve">Rack share of the work</t>
  </si>
  <si>
    <t xml:space="preserve">Box share of the work</t>
  </si>
  <si>
    <t xml:space="preserve">Cloud share of the work</t>
  </si>
  <si>
    <t xml:space="preserve">Throughput and placement</t>
  </si>
  <si>
    <t xml:space="preserve">Throughput per H200, gpt-oss-120b at 8:1 (tokens/s; Chapter 29)</t>
  </si>
  <si>
    <t xml:space="preserve">Memory bandwidth, RTX PRO 6000 Server Edition (GB/s)</t>
  </si>
  <si>
    <t xml:space="preserve">Memory bandwidth, H200 (GB/s)</t>
  </si>
  <si>
    <t xml:space="preserve">Dense compute, RTX PRO 6000 SE ÷ H200 (“roughly half”)</t>
  </si>
  <si>
    <t xml:space="preserve">Measured goodput per GPU (tokens/s; blank = use the estimate)</t>
  </si>
  <si>
    <t xml:space="preserve">Planning limit at the busiest hour</t>
  </si>
  <si>
    <t xml:space="preserve">GPUs per node</t>
  </si>
  <si>
    <t xml:space="preserve">Nodes</t>
  </si>
  <si>
    <t xml:space="preserve">General-model replicas with the placement of Table 33.3</t>
  </si>
  <si>
    <t xml:space="preserve">General-model replicas left after a node failure</t>
  </si>
  <si>
    <t xml:space="preserve">Results</t>
  </si>
  <si>
    <t xml:space="preserve">Tokens per working day (millions)</t>
  </si>
  <si>
    <t xml:space="preserve">720</t>
  </si>
  <si>
    <t xml:space="preserve">Average over the working hours (tokens/s)</t>
  </si>
  <si>
    <t xml:space="preserve">20,000</t>
  </si>
  <si>
    <t xml:space="preserve">Busiest hour (millions of tokens)</t>
  </si>
  <si>
    <t xml:space="preserve">100.8</t>
  </si>
  <si>
    <t xml:space="preserve">Busiest hour, all tiers (tokens/s)</t>
  </si>
  <si>
    <t xml:space="preserve">28,000</t>
  </si>
  <si>
    <t xml:space="preserve">Rack at the busiest hour (tokens/s)</t>
  </si>
  <si>
    <t xml:space="preserve">16,800</t>
  </si>
  <si>
    <t xml:space="preserve">Estimate by memory bandwidth (tokens/s per GPU)</t>
  </si>
  <si>
    <t xml:space="preserve">about a third</t>
  </si>
  <si>
    <t xml:space="preserve">Estimate by dense compute (tokens/s per GPU)</t>
  </si>
  <si>
    <t xml:space="preserve">roughly half</t>
  </si>
  <si>
    <t xml:space="preserve">Throughput per GPU used (cautious estimate, rounded, or measured)</t>
  </si>
  <si>
    <t xml:space="preserve">≈ 2,700</t>
  </si>
  <si>
    <t xml:space="preserve">GPUs needed at the planning limit (exact)</t>
  </si>
  <si>
    <t xml:space="preserve">8.9</t>
  </si>
  <si>
    <t xml:space="preserve">GPUs needed (rounded up)</t>
  </si>
  <si>
    <t xml:space="preserve">9</t>
  </si>
  <si>
    <t xml:space="preserve">One node at the busiest hour</t>
  </si>
  <si>
    <t xml:space="preserve">78%</t>
  </si>
  <si>
    <t xml:space="preserve">All GPUs of the nodes on the general model</t>
  </si>
  <si>
    <t xml:space="preserve">about 39%</t>
  </si>
  <si>
    <t xml:space="preserve">General replicas with the placement of Table 33.3</t>
  </si>
  <si>
    <t xml:space="preserve">about 57%</t>
  </si>
  <si>
    <t xml:space="preserve">After a node failure (degraded mode)</t>
  </si>
  <si>
    <t xml:space="preserve">about 89%</t>
  </si>
  <si>
    <t xml:space="preserve">Within the planning limit with the general replicas?</t>
  </si>
  <si>
    <t xml:space="preserve">Sensitivity</t>
  </si>
  <si>
    <t xml:space="preserve">Base case</t>
  </si>
  <si>
    <t xml:space="preserve">Throughput 2,000</t>
  </si>
  <si>
    <t xml:space="preserve">Box share 10%</t>
  </si>
  <si>
    <t xml:space="preserve">Throughput per GPU (tokens/s; blank = as above)</t>
  </si>
  <si>
    <t xml:space="preserve">Box share</t>
  </si>
  <si>
    <t xml:space="preserve">Cloud share</t>
  </si>
  <si>
    <t xml:space="preserve">Throughput used (tokens/s)</t>
  </si>
  <si>
    <t xml:space="preserve">16,800; 16,800; 21,000</t>
  </si>
  <si>
    <t xml:space="preserve">Utilization of the general replicas</t>
  </si>
  <si>
    <t xml:space="preserve">57%; 76%; 71%</t>
  </si>
  <si>
    <t xml:space="preserve">Capacity after a node failure (tokens/s)</t>
  </si>
  <si>
    <t xml:space="preserve">18,900; 14,000; 18,900</t>
  </si>
  <si>
    <t xml:space="preserve">Utilization after a node failure</t>
  </si>
  <si>
    <t xml:space="preserve">89%; 120%; 111%</t>
  </si>
  <si>
    <t xml:space="preserve">Cloud budget (Section 30.6)</t>
  </si>
  <si>
    <t xml:space="preserve">Working days per month</t>
  </si>
  <si>
    <t xml:space="preserve">Mid-tier price, input (US$ per million tokens; Table 29.1)</t>
  </si>
  <si>
    <t xml:space="preserve">Mid-tier price, output (US$ per million tokens)</t>
  </si>
  <si>
    <t xml:space="preserve">Input tokens per output token, planning mix</t>
  </si>
  <si>
    <t xml:space="preserve">Input tokens per output token, output-heavy mix</t>
  </si>
  <si>
    <t xml:space="preserve">Regional processing surcharge</t>
  </si>
  <si>
    <t xml:space="preserve">Cloud tokens per working day (millions)</t>
  </si>
  <si>
    <t xml:space="preserve">about 108</t>
  </si>
  <si>
    <t xml:space="preserve">Blended price at the planning mix (US$ per million)</t>
  </si>
  <si>
    <t xml:space="preserve">2.89</t>
  </si>
  <si>
    <t xml:space="preserve">Monthly cloud budget at the planning mix (US$)</t>
  </si>
  <si>
    <t xml:space="preserve">about 6,900</t>
  </si>
  <si>
    <t xml:space="preserve">Blended price at the output-heavy mix (US$ per million)</t>
  </si>
  <si>
    <t xml:space="preserve">3.60</t>
  </si>
  <si>
    <t xml:space="preserve">Monthly cloud budget at the output-heavy mix (US$)</t>
  </si>
  <si>
    <t xml:space="preserve">about 8,600</t>
  </si>
  <si>
    <t xml:space="preserve">Planning budget with regional processing (US$)</t>
  </si>
  <si>
    <t xml:space="preserve">Throughput per GPU is an estimate: replace it with the measured goodput — the highest request rate at which 95% of requests meet the TTFT and streaming targets of Table 30.2 — times 9,000 tokens per request (Section 16.6).</t>
  </si>
  <si>
    <t xml:space="preserve">Of the sixteen GPUs, Table 33.3 reserves five for a stronger model and retrieval services; after a node failure the strong model stops and the gateway sheds load (degraded mode above the planning limit).</t>
  </si>
  <si>
    <t xml:space="preserve">Reading: the number of GPUs follows from four estimates — demand, routing shares, throughput per GPU and the planning limit — of which throughput must be measured and the routing shares observed after launch.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</si>
</sst>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#,##0"/>
    <numFmt numFmtId="167" formatCode="0.0"/>
    <numFmt numFmtId="168" formatCode="0"/>
    <numFmt numFmtId="169" formatCode="0.00"/>
    <numFmt numFmtId="170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5" t="s">
        <v>6</v>
      </c>
      <c r="C5" s="5" t="s">
        <v>7</v>
      </c>
    </row>
    <row r="6" customFormat="false" ht="30" hidden="false" customHeight="true" outlineLevel="0" collapsed="false">
      <c r="A6" s="4" t="s">
        <v>8</v>
      </c>
      <c r="B6" s="5" t="s">
        <v>9</v>
      </c>
      <c r="C6" s="5" t="s">
        <v>10</v>
      </c>
    </row>
    <row r="7" customFormat="false" ht="30" hidden="false" customHeight="true" outlineLevel="0" collapsed="false">
      <c r="A7" s="4" t="s">
        <v>11</v>
      </c>
      <c r="B7" s="5" t="s">
        <v>12</v>
      </c>
      <c r="C7" s="5" t="s">
        <v>13</v>
      </c>
    </row>
    <row r="9" customFormat="false" ht="15" hidden="false" customHeight="false" outlineLevel="0" collapsed="false">
      <c r="A9" s="6" t="s">
        <v>14</v>
      </c>
    </row>
    <row r="10" customFormat="false" ht="30" hidden="false" customHeight="true" outlineLevel="0" collapsed="false">
      <c r="A10" s="7" t="s">
        <v>15</v>
      </c>
      <c r="B10" s="7"/>
      <c r="C10" s="7"/>
    </row>
    <row r="11" customFormat="false" ht="30" hidden="false" customHeight="true" outlineLevel="0" collapsed="false">
      <c r="A11" s="7" t="s">
        <v>16</v>
      </c>
      <c r="B11" s="7"/>
      <c r="C11" s="7"/>
    </row>
    <row r="12" customFormat="false" ht="15" hidden="false" customHeight="true" outlineLevel="0" collapsed="false">
      <c r="A12" s="7" t="s">
        <v>17</v>
      </c>
      <c r="B12" s="7"/>
      <c r="C12" s="7"/>
    </row>
  </sheetData>
  <mergeCells count="4"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4"/>
    <col collapsed="false" customWidth="true" hidden="false" outlineLevel="0" max="4" min="4" style="0" width="20"/>
  </cols>
  <sheetData>
    <row r="1" customFormat="false" ht="15.75" hidden="false" customHeight="true" outlineLevel="0" collapsed="false">
      <c r="A1" s="8" t="s">
        <v>18</v>
      </c>
    </row>
    <row r="3" customFormat="false" ht="15" hidden="false" customHeight="false" outlineLevel="0" collapsed="false">
      <c r="A3" s="9" t="s">
        <v>19</v>
      </c>
      <c r="B3" s="9" t="s">
        <v>20</v>
      </c>
      <c r="C3" s="9" t="s">
        <v>21</v>
      </c>
      <c r="D3" s="9" t="s">
        <v>22</v>
      </c>
    </row>
    <row r="4" customFormat="false" ht="15" hidden="false" customHeight="false" outlineLevel="0" collapsed="false">
      <c r="A4" s="10" t="s">
        <v>23</v>
      </c>
      <c r="B4" s="11" t="n">
        <v>0.05</v>
      </c>
      <c r="C4" s="11" t="n">
        <v>0.05</v>
      </c>
    </row>
    <row r="5" customFormat="false" ht="15" hidden="false" customHeight="false" outlineLevel="0" collapsed="false">
      <c r="A5" s="10" t="s">
        <v>24</v>
      </c>
      <c r="B5" s="11" t="n">
        <v>0.01</v>
      </c>
      <c r="C5" s="11" t="n">
        <v>0.01</v>
      </c>
    </row>
    <row r="6" customFormat="false" ht="15" hidden="false" customHeight="false" outlineLevel="0" collapsed="false">
      <c r="A6" s="10" t="s">
        <v>25</v>
      </c>
      <c r="B6" s="11" t="n">
        <v>0.03</v>
      </c>
      <c r="C6" s="11" t="n">
        <v>0.03</v>
      </c>
    </row>
    <row r="7" customFormat="false" ht="15" hidden="false" customHeight="false" outlineLevel="0" collapsed="false">
      <c r="A7" s="10" t="s">
        <v>26</v>
      </c>
      <c r="B7" s="11" t="n">
        <v>0.3</v>
      </c>
      <c r="C7" s="11" t="n">
        <v>0.6</v>
      </c>
    </row>
    <row r="8" customFormat="false" ht="15" hidden="false" customHeight="false" outlineLevel="0" collapsed="false">
      <c r="A8" s="10" t="s">
        <v>27</v>
      </c>
      <c r="B8" s="11" t="n">
        <v>0</v>
      </c>
      <c r="C8" s="11" t="n">
        <v>0</v>
      </c>
    </row>
    <row r="10" customFormat="false" ht="15" hidden="false" customHeight="true" outlineLevel="0" collapsed="false">
      <c r="A10" s="9" t="s">
        <v>28</v>
      </c>
      <c r="B10" s="9" t="s">
        <v>29</v>
      </c>
      <c r="C10" s="9"/>
    </row>
    <row r="11" customFormat="false" ht="15" hidden="false" customHeight="true" outlineLevel="0" collapsed="false">
      <c r="A11" s="10" t="s">
        <v>30</v>
      </c>
      <c r="B11" s="12" t="n">
        <v>8000</v>
      </c>
    </row>
    <row r="12" customFormat="false" ht="15" hidden="false" customHeight="true" outlineLevel="0" collapsed="false">
      <c r="A12" s="10" t="s">
        <v>31</v>
      </c>
      <c r="B12" s="12" t="n">
        <v>4000</v>
      </c>
    </row>
    <row r="14" customFormat="false" ht="15" hidden="false" customHeight="true" outlineLevel="0" collapsed="false">
      <c r="A14" s="9" t="s">
        <v>32</v>
      </c>
      <c r="B14" s="9" t="s">
        <v>29</v>
      </c>
      <c r="C14" s="9"/>
    </row>
    <row r="15" customFormat="false" ht="15" hidden="false" customHeight="true" outlineLevel="0" collapsed="false">
      <c r="A15" s="10" t="s">
        <v>33</v>
      </c>
      <c r="B15" s="13" t="n">
        <v>3</v>
      </c>
    </row>
    <row r="16" customFormat="false" ht="15" hidden="false" customHeight="true" outlineLevel="0" collapsed="false">
      <c r="A16" s="10" t="s">
        <v>34</v>
      </c>
      <c r="B16" s="13" t="n">
        <v>0.5</v>
      </c>
    </row>
    <row r="17" customFormat="false" ht="15" hidden="false" customHeight="true" outlineLevel="0" collapsed="false">
      <c r="A17" s="10" t="s">
        <v>35</v>
      </c>
      <c r="B17" s="14" t="n">
        <v>20</v>
      </c>
    </row>
    <row r="19" customFormat="false" ht="15" hidden="false" customHeight="false" outlineLevel="0" collapsed="false">
      <c r="A19" s="9" t="s">
        <v>36</v>
      </c>
      <c r="B19" s="9" t="s">
        <v>20</v>
      </c>
      <c r="C19" s="9" t="s">
        <v>21</v>
      </c>
      <c r="D19" s="9" t="s">
        <v>22</v>
      </c>
    </row>
    <row r="20" customFormat="false" ht="15" hidden="false" customHeight="false" outlineLevel="0" collapsed="false">
      <c r="A20" s="15" t="s">
        <v>37</v>
      </c>
      <c r="B20" s="16" t="n">
        <f aca="false">B5+B6+B7</f>
        <v>0.34</v>
      </c>
      <c r="C20" s="16" t="n">
        <f aca="false">C5+C6+C7</f>
        <v>0.64</v>
      </c>
      <c r="D20" s="17" t="s">
        <v>38</v>
      </c>
    </row>
    <row r="21" customFormat="false" ht="15" hidden="false" customHeight="false" outlineLevel="0" collapsed="false">
      <c r="A21" s="15" t="s">
        <v>28</v>
      </c>
      <c r="B21" s="16" t="n">
        <f aca="false">B11/B12</f>
        <v>2</v>
      </c>
      <c r="C21" s="16" t="n">
        <f aca="false">B11/B12</f>
        <v>2</v>
      </c>
      <c r="D21" s="17" t="s">
        <v>39</v>
      </c>
    </row>
    <row r="22" customFormat="false" ht="15" hidden="false" customHeight="false" outlineLevel="0" collapsed="false">
      <c r="A22" s="15" t="s">
        <v>40</v>
      </c>
      <c r="B22" s="16" t="n">
        <f aca="false">B4+B20+B8+B21</f>
        <v>2.39</v>
      </c>
      <c r="C22" s="16" t="n">
        <f aca="false">C4+C20+C8+C21</f>
        <v>2.69</v>
      </c>
      <c r="D22" s="17" t="s">
        <v>41</v>
      </c>
    </row>
    <row r="23" customFormat="false" ht="15" hidden="false" customHeight="false" outlineLevel="0" collapsed="false">
      <c r="A23" s="15" t="s">
        <v>42</v>
      </c>
      <c r="B23" s="16" t="n">
        <f aca="false">B15-B22</f>
        <v>0.61</v>
      </c>
      <c r="C23" s="16" t="n">
        <f aca="false">B15-C22</f>
        <v>0.31</v>
      </c>
      <c r="D23" s="17" t="s">
        <v>43</v>
      </c>
    </row>
    <row r="24" customFormat="false" ht="15" hidden="false" customHeight="false" outlineLevel="0" collapsed="false">
      <c r="A24" s="15" t="s">
        <v>44</v>
      </c>
      <c r="B24" s="15" t="str">
        <f aca="false">IF(B22&lt;=B15,"yes","no")</f>
        <v>yes</v>
      </c>
      <c r="C24" s="15" t="str">
        <f aca="false">IF(C22&lt;=B15,"yes","no")</f>
        <v>yes</v>
      </c>
      <c r="D24" s="17" t="s">
        <v>45</v>
      </c>
    </row>
    <row r="25" customFormat="false" ht="15" hidden="false" customHeight="false" outlineLevel="0" collapsed="false">
      <c r="A25" s="15" t="s">
        <v>46</v>
      </c>
      <c r="B25" s="15" t="str">
        <f aca="false">IF(B22&lt;=B16,"yes","no")</f>
        <v>no</v>
      </c>
      <c r="C25" s="15" t="str">
        <f aca="false">IF(C22&lt;=B16,"yes","no")</f>
        <v>no</v>
      </c>
      <c r="D25" s="17" t="s">
        <v>47</v>
      </c>
    </row>
    <row r="26" customFormat="false" ht="15" hidden="false" customHeight="false" outlineLevel="0" collapsed="false">
      <c r="A26" s="15" t="s">
        <v>48</v>
      </c>
      <c r="B26" s="18" t="n">
        <f aca="false">MAX(0,(B16-B4-B20-B8)*B12)</f>
        <v>440</v>
      </c>
      <c r="C26" s="18" t="n">
        <f aca="false">MAX(0,(B16-C4-C20-C8)*B12)</f>
        <v>0</v>
      </c>
    </row>
    <row r="27" customFormat="false" ht="15" hidden="false" customHeight="true" outlineLevel="0" collapsed="false">
      <c r="A27" s="15" t="s">
        <v>49</v>
      </c>
      <c r="B27" s="19" t="n">
        <f aca="false">1000/B17</f>
        <v>50</v>
      </c>
      <c r="C27" s="17"/>
      <c r="D27" s="17" t="s">
        <v>50</v>
      </c>
    </row>
    <row r="29" customFormat="false" ht="15" hidden="false" customHeight="true" outlineLevel="0" collapsed="false">
      <c r="A29" s="9" t="s">
        <v>51</v>
      </c>
      <c r="B29" s="9" t="s">
        <v>20</v>
      </c>
      <c r="C29" s="9" t="s">
        <v>21</v>
      </c>
    </row>
    <row r="30" customFormat="false" ht="15" hidden="false" customHeight="false" outlineLevel="0" collapsed="false">
      <c r="A30" s="10" t="s">
        <v>52</v>
      </c>
      <c r="B30" s="11" t="n">
        <v>0.3</v>
      </c>
      <c r="C30" s="11" t="n">
        <v>0.9</v>
      </c>
    </row>
    <row r="31" customFormat="false" ht="15" hidden="false" customHeight="false" outlineLevel="0" collapsed="false">
      <c r="A31" s="10" t="s">
        <v>53</v>
      </c>
      <c r="B31" s="11" t="n">
        <v>0.8</v>
      </c>
      <c r="C31" s="11" t="n">
        <v>0.8</v>
      </c>
    </row>
    <row r="32" customFormat="false" ht="15" hidden="false" customHeight="false" outlineLevel="0" collapsed="false">
      <c r="A32" s="10" t="s">
        <v>54</v>
      </c>
      <c r="B32" s="11" t="n">
        <v>0.02</v>
      </c>
      <c r="C32" s="11" t="n">
        <v>0.02</v>
      </c>
    </row>
    <row r="33" customFormat="false" ht="15" hidden="false" customHeight="false" outlineLevel="0" collapsed="false">
      <c r="A33" s="15" t="s">
        <v>55</v>
      </c>
      <c r="B33" s="16" t="n">
        <f aca="false">B4+MAX(B20,B31+B30+B32)+B21</f>
        <v>3.17</v>
      </c>
      <c r="C33" s="16" t="n">
        <f aca="false">C4+MAX(C20,C31+C30+C32)+C21</f>
        <v>3.77</v>
      </c>
      <c r="D33" s="17" t="s">
        <v>56</v>
      </c>
    </row>
    <row r="35" customFormat="false" ht="15" hidden="false" customHeight="false" outlineLevel="0" collapsed="false">
      <c r="A35" s="20" t="s">
        <v>57</v>
      </c>
    </row>
    <row r="36" customFormat="false" ht="15" hidden="false" customHeight="false" outlineLevel="0" collapsed="false">
      <c r="A36" s="20" t="s">
        <v>58</v>
      </c>
    </row>
    <row r="37" customFormat="false" ht="15" hidden="false" customHeight="false" outlineLevel="0" collapsed="false">
      <c r="A37" s="2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22"/>
    <col collapsed="false" customWidth="true" hidden="false" outlineLevel="0" max="6" min="6" style="0" width="4"/>
    <col collapsed="false" customWidth="true" hidden="false" outlineLevel="0" max="8" min="7" style="0" width="22"/>
  </cols>
  <sheetData>
    <row r="1" customFormat="false" ht="15.75" hidden="false" customHeight="true" outlineLevel="0" collapsed="false">
      <c r="A1" s="8" t="s">
        <v>60</v>
      </c>
    </row>
    <row r="3" customFormat="false" ht="15" hidden="false" customHeight="false" outlineLevel="0" collapsed="false">
      <c r="A3" s="21" t="s">
        <v>61</v>
      </c>
    </row>
    <row r="5" customFormat="false" ht="30" hidden="false" customHeight="true" outlineLevel="0" collapsed="false">
      <c r="A5" s="9" t="s">
        <v>62</v>
      </c>
      <c r="B5" s="9" t="s">
        <v>63</v>
      </c>
      <c r="C5" s="9" t="s">
        <v>64</v>
      </c>
      <c r="D5" s="9" t="s">
        <v>65</v>
      </c>
      <c r="E5" s="9" t="s">
        <v>66</v>
      </c>
    </row>
    <row r="6" customFormat="false" ht="30" hidden="false" customHeight="true" outlineLevel="0" collapsed="false">
      <c r="A6" s="15" t="s">
        <v>67</v>
      </c>
      <c r="B6" s="22" t="s">
        <v>68</v>
      </c>
      <c r="C6" s="22" t="s">
        <v>68</v>
      </c>
      <c r="D6" s="22" t="s">
        <v>68</v>
      </c>
      <c r="E6" s="22" t="s">
        <v>68</v>
      </c>
    </row>
    <row r="7" customFormat="false" ht="30" hidden="false" customHeight="true" outlineLevel="0" collapsed="false">
      <c r="A7" s="15" t="s">
        <v>69</v>
      </c>
      <c r="B7" s="22" t="s">
        <v>68</v>
      </c>
      <c r="C7" s="22" t="s">
        <v>68</v>
      </c>
      <c r="D7" s="22" t="s">
        <v>68</v>
      </c>
      <c r="E7" s="22" t="s">
        <v>70</v>
      </c>
    </row>
    <row r="8" customFormat="false" ht="30" hidden="false" customHeight="true" outlineLevel="0" collapsed="false">
      <c r="A8" s="15" t="s">
        <v>71</v>
      </c>
      <c r="B8" s="22" t="s">
        <v>72</v>
      </c>
      <c r="C8" s="22" t="s">
        <v>68</v>
      </c>
      <c r="D8" s="22" t="s">
        <v>73</v>
      </c>
      <c r="E8" s="22" t="s">
        <v>70</v>
      </c>
    </row>
    <row r="9" customFormat="false" ht="30" hidden="false" customHeight="true" outlineLevel="0" collapsed="false">
      <c r="A9" s="15" t="s">
        <v>74</v>
      </c>
      <c r="B9" s="22" t="s">
        <v>75</v>
      </c>
      <c r="C9" s="22" t="s">
        <v>76</v>
      </c>
      <c r="D9" s="22" t="s">
        <v>77</v>
      </c>
      <c r="E9" s="22" t="s">
        <v>77</v>
      </c>
    </row>
    <row r="10" customFormat="false" ht="30" hidden="false" customHeight="true" outlineLevel="0" collapsed="false">
      <c r="A10" s="15" t="s">
        <v>78</v>
      </c>
      <c r="B10" s="22" t="s">
        <v>68</v>
      </c>
      <c r="C10" s="22" t="s">
        <v>79</v>
      </c>
      <c r="D10" s="22" t="s">
        <v>80</v>
      </c>
      <c r="E10" s="22" t="s">
        <v>81</v>
      </c>
    </row>
    <row r="12" customFormat="false" ht="30" hidden="false" customHeight="true" outlineLevel="0" collapsed="false">
      <c r="A12" s="9" t="s">
        <v>82</v>
      </c>
      <c r="G12" s="9" t="s">
        <v>83</v>
      </c>
      <c r="H12" s="9" t="s">
        <v>84</v>
      </c>
    </row>
    <row r="13" customFormat="false" ht="15" hidden="false" customHeight="false" outlineLevel="0" collapsed="false">
      <c r="A13" s="10" t="s">
        <v>85</v>
      </c>
      <c r="G13" s="14" t="n">
        <v>1</v>
      </c>
      <c r="H13" s="14" t="n">
        <v>1</v>
      </c>
    </row>
    <row r="14" customFormat="false" ht="15" hidden="false" customHeight="false" outlineLevel="0" collapsed="false">
      <c r="A14" s="10" t="s">
        <v>86</v>
      </c>
      <c r="G14" s="14" t="n">
        <v>1</v>
      </c>
      <c r="H14" s="14" t="n">
        <v>0</v>
      </c>
    </row>
    <row r="15" customFormat="false" ht="15" hidden="false" customHeight="false" outlineLevel="0" collapsed="false">
      <c r="A15" s="10" t="s">
        <v>87</v>
      </c>
      <c r="G15" s="14" t="n">
        <v>1</v>
      </c>
      <c r="H15" s="14" t="n">
        <v>1</v>
      </c>
    </row>
    <row r="16" customFormat="false" ht="15" hidden="false" customHeight="false" outlineLevel="0" collapsed="false">
      <c r="A16" s="10" t="s">
        <v>88</v>
      </c>
      <c r="G16" s="14" t="n">
        <v>0</v>
      </c>
      <c r="H16" s="14" t="n">
        <v>0</v>
      </c>
    </row>
    <row r="17" customFormat="false" ht="15" hidden="false" customHeight="false" outlineLevel="0" collapsed="false">
      <c r="A17" s="10" t="s">
        <v>89</v>
      </c>
      <c r="G17" s="14" t="n">
        <v>0</v>
      </c>
      <c r="H17" s="14" t="n">
        <v>0</v>
      </c>
    </row>
    <row r="18" customFormat="false" ht="15" hidden="false" customHeight="false" outlineLevel="0" collapsed="false">
      <c r="A18" s="10" t="s">
        <v>90</v>
      </c>
      <c r="G18" s="14" t="n">
        <v>0</v>
      </c>
      <c r="H18" s="14" t="n">
        <v>1</v>
      </c>
    </row>
    <row r="19" customFormat="false" ht="15" hidden="false" customHeight="false" outlineLevel="0" collapsed="false">
      <c r="A19" s="10" t="s">
        <v>91</v>
      </c>
      <c r="G19" s="14" t="n">
        <v>1</v>
      </c>
      <c r="H19" s="14" t="n">
        <v>1</v>
      </c>
    </row>
    <row r="20" customFormat="false" ht="15" hidden="false" customHeight="false" outlineLevel="0" collapsed="false">
      <c r="A20" s="10" t="s">
        <v>92</v>
      </c>
      <c r="G20" s="14" t="n">
        <v>0</v>
      </c>
      <c r="H20" s="14" t="n">
        <v>0</v>
      </c>
    </row>
    <row r="21" customFormat="false" ht="15" hidden="false" customHeight="false" outlineLevel="0" collapsed="false">
      <c r="A21" s="10" t="s">
        <v>93</v>
      </c>
      <c r="G21" s="14" t="n">
        <v>0</v>
      </c>
      <c r="H21" s="14" t="n">
        <v>0</v>
      </c>
    </row>
    <row r="22" customFormat="false" ht="15" hidden="false" customHeight="false" outlineLevel="0" collapsed="false">
      <c r="A22" s="10" t="s">
        <v>94</v>
      </c>
      <c r="G22" s="14" t="n">
        <v>0</v>
      </c>
      <c r="H22" s="14" t="n">
        <v>0</v>
      </c>
    </row>
    <row r="24" customFormat="false" ht="30" hidden="false" customHeight="true" outlineLevel="0" collapsed="false">
      <c r="A24" s="9" t="s">
        <v>95</v>
      </c>
      <c r="B24" s="9" t="s">
        <v>63</v>
      </c>
      <c r="C24" s="9" t="s">
        <v>64</v>
      </c>
      <c r="D24" s="9" t="s">
        <v>65</v>
      </c>
      <c r="E24" s="9" t="s">
        <v>66</v>
      </c>
    </row>
    <row r="25" customFormat="false" ht="15" hidden="false" customHeight="false" outlineLevel="0" collapsed="false">
      <c r="A25" s="10" t="s">
        <v>67</v>
      </c>
      <c r="B25" s="23" t="n">
        <f aca="false">IF(G$13=1,1,0)</f>
        <v>1</v>
      </c>
      <c r="C25" s="23" t="n">
        <f aca="false">IF(G$13=1,1,0)</f>
        <v>1</v>
      </c>
      <c r="D25" s="23" t="n">
        <f aca="false">IF(G$13=1,1,0)</f>
        <v>1</v>
      </c>
      <c r="E25" s="23" t="n">
        <f aca="false">IF(G$13=1,1,0)</f>
        <v>1</v>
      </c>
    </row>
    <row r="26" customFormat="false" ht="15" hidden="false" customHeight="false" outlineLevel="0" collapsed="false">
      <c r="A26" s="10" t="s">
        <v>69</v>
      </c>
      <c r="B26" s="23" t="n">
        <f aca="false">IF(G$14=1,1,0)</f>
        <v>1</v>
      </c>
      <c r="C26" s="23" t="n">
        <f aca="false">IF(G$14=1,1,0)</f>
        <v>1</v>
      </c>
      <c r="D26" s="23" t="n">
        <f aca="false">IF(G$14=1,1,0)</f>
        <v>1</v>
      </c>
      <c r="E26" s="23" t="n">
        <f aca="false">IF(G$14=1,2,0)</f>
        <v>2</v>
      </c>
    </row>
    <row r="27" customFormat="false" ht="15" hidden="false" customHeight="false" outlineLevel="0" collapsed="false">
      <c r="A27" s="10" t="s">
        <v>71</v>
      </c>
      <c r="B27" s="23" t="n">
        <f aca="false">IF(G$15=1,IF(G$19=1,1,3),0)</f>
        <v>1</v>
      </c>
      <c r="C27" s="23" t="n">
        <f aca="false">IF(G$15=1,1,0)</f>
        <v>1</v>
      </c>
      <c r="D27" s="23" t="n">
        <f aca="false">IF(G$15=1,IF(G$18=1,2,3),0)</f>
        <v>3</v>
      </c>
      <c r="E27" s="23" t="n">
        <f aca="false">IF(G$15=1,2,0)</f>
        <v>2</v>
      </c>
    </row>
    <row r="28" customFormat="false" ht="15" hidden="false" customHeight="false" outlineLevel="0" collapsed="false">
      <c r="A28" s="10" t="s">
        <v>74</v>
      </c>
      <c r="B28" s="23" t="n">
        <f aca="false">IF(G$16=1,3,0)</f>
        <v>0</v>
      </c>
      <c r="C28" s="23" t="n">
        <f aca="false">IF(G$16=1,IF(G$20=1,1,3),0)</f>
        <v>0</v>
      </c>
      <c r="D28" s="23" t="n">
        <f aca="false">IF(G$16=1,3,0)</f>
        <v>0</v>
      </c>
      <c r="E28" s="23" t="n">
        <f aca="false">IF(G$16=1,3,0)</f>
        <v>0</v>
      </c>
    </row>
    <row r="29" customFormat="false" ht="15" hidden="false" customHeight="false" outlineLevel="0" collapsed="false">
      <c r="A29" s="10" t="s">
        <v>78</v>
      </c>
      <c r="B29" s="23" t="n">
        <f aca="false">IF(G$17=1,1,0)</f>
        <v>0</v>
      </c>
      <c r="C29" s="23" t="n">
        <f aca="false">IF(G$17=1,IF(G$21=1,1,3),0)</f>
        <v>0</v>
      </c>
      <c r="D29" s="23" t="n">
        <f aca="false">IF(G$17=1,IF(G$22=1,1,3),0)</f>
        <v>0</v>
      </c>
      <c r="E29" s="23" t="n">
        <f aca="false">IF(G$17=1,2,0)</f>
        <v>0</v>
      </c>
    </row>
    <row r="30" customFormat="false" ht="15" hidden="false" customHeight="false" outlineLevel="0" collapsed="false">
      <c r="A30" s="15" t="s">
        <v>96</v>
      </c>
      <c r="B30" s="15" t="str">
        <f aca="false">CHOOSE(MAX(B25:B29)+1,"no content","Allow","Transform","Deny")</f>
        <v>Allow</v>
      </c>
      <c r="C30" s="15" t="str">
        <f aca="false">CHOOSE(MAX(C25:C29)+1,"no content","Allow","Transform","Deny")</f>
        <v>Allow</v>
      </c>
      <c r="D30" s="15" t="str">
        <f aca="false">CHOOSE(MAX(D25:D29)+1,"no content","Allow","Transform","Deny")</f>
        <v>Deny</v>
      </c>
      <c r="E30" s="15" t="str">
        <f aca="false">CHOOSE(MAX(E25:E29)+1,"no content","Allow","Transform","Deny")</f>
        <v>Transform</v>
      </c>
    </row>
    <row r="32" customFormat="false" ht="30" hidden="false" customHeight="true" outlineLevel="0" collapsed="false">
      <c r="A32" s="9" t="s">
        <v>97</v>
      </c>
      <c r="B32" s="9" t="s">
        <v>63</v>
      </c>
      <c r="C32" s="9" t="s">
        <v>64</v>
      </c>
      <c r="D32" s="9" t="s">
        <v>65</v>
      </c>
      <c r="E32" s="9" t="s">
        <v>66</v>
      </c>
    </row>
    <row r="33" customFormat="false" ht="15" hidden="false" customHeight="false" outlineLevel="0" collapsed="false">
      <c r="A33" s="10" t="s">
        <v>67</v>
      </c>
      <c r="B33" s="23" t="n">
        <f aca="false">IF(H$13=1,1,0)</f>
        <v>1</v>
      </c>
      <c r="C33" s="23" t="n">
        <f aca="false">IF(H$13=1,1,0)</f>
        <v>1</v>
      </c>
      <c r="D33" s="23" t="n">
        <f aca="false">IF(H$13=1,1,0)</f>
        <v>1</v>
      </c>
      <c r="E33" s="23" t="n">
        <f aca="false">IF(H$13=1,1,0)</f>
        <v>1</v>
      </c>
    </row>
    <row r="34" customFormat="false" ht="15" hidden="false" customHeight="false" outlineLevel="0" collapsed="false">
      <c r="A34" s="10" t="s">
        <v>69</v>
      </c>
      <c r="B34" s="23" t="n">
        <f aca="false">IF(H$14=1,1,0)</f>
        <v>0</v>
      </c>
      <c r="C34" s="23" t="n">
        <f aca="false">IF(H$14=1,1,0)</f>
        <v>0</v>
      </c>
      <c r="D34" s="23" t="n">
        <f aca="false">IF(H$14=1,1,0)</f>
        <v>0</v>
      </c>
      <c r="E34" s="23" t="n">
        <f aca="false">IF(H$14=1,2,0)</f>
        <v>0</v>
      </c>
    </row>
    <row r="35" customFormat="false" ht="15" hidden="false" customHeight="false" outlineLevel="0" collapsed="false">
      <c r="A35" s="10" t="s">
        <v>71</v>
      </c>
      <c r="B35" s="23" t="n">
        <f aca="false">IF(H$15=1,IF(H$19=1,1,3),0)</f>
        <v>1</v>
      </c>
      <c r="C35" s="23" t="n">
        <f aca="false">IF(H$15=1,1,0)</f>
        <v>1</v>
      </c>
      <c r="D35" s="23" t="n">
        <f aca="false">IF(H$15=1,IF(H$18=1,2,3),0)</f>
        <v>2</v>
      </c>
      <c r="E35" s="23" t="n">
        <f aca="false">IF(H$15=1,2,0)</f>
        <v>2</v>
      </c>
    </row>
    <row r="36" customFormat="false" ht="15" hidden="false" customHeight="false" outlineLevel="0" collapsed="false">
      <c r="A36" s="10" t="s">
        <v>74</v>
      </c>
      <c r="B36" s="23" t="n">
        <f aca="false">IF(H$16=1,3,0)</f>
        <v>0</v>
      </c>
      <c r="C36" s="23" t="n">
        <f aca="false">IF(H$16=1,IF(H$20=1,1,3),0)</f>
        <v>0</v>
      </c>
      <c r="D36" s="23" t="n">
        <f aca="false">IF(H$16=1,3,0)</f>
        <v>0</v>
      </c>
      <c r="E36" s="23" t="n">
        <f aca="false">IF(H$16=1,3,0)</f>
        <v>0</v>
      </c>
    </row>
    <row r="37" customFormat="false" ht="15" hidden="false" customHeight="false" outlineLevel="0" collapsed="false">
      <c r="A37" s="10" t="s">
        <v>78</v>
      </c>
      <c r="B37" s="23" t="n">
        <f aca="false">IF(H$17=1,1,0)</f>
        <v>0</v>
      </c>
      <c r="C37" s="23" t="n">
        <f aca="false">IF(H$17=1,IF(H$21=1,1,3),0)</f>
        <v>0</v>
      </c>
      <c r="D37" s="23" t="n">
        <f aca="false">IF(H$17=1,IF(H$22=1,1,3),0)</f>
        <v>0</v>
      </c>
      <c r="E37" s="23" t="n">
        <f aca="false">IF(H$17=1,2,0)</f>
        <v>0</v>
      </c>
    </row>
    <row r="38" customFormat="false" ht="15" hidden="false" customHeight="false" outlineLevel="0" collapsed="false">
      <c r="A38" s="15" t="s">
        <v>98</v>
      </c>
      <c r="B38" s="15" t="str">
        <f aca="false">CHOOSE(MAX(B33:B37)+1,"no content","Allow","Transform","Deny")</f>
        <v>Allow</v>
      </c>
      <c r="C38" s="15" t="str">
        <f aca="false">CHOOSE(MAX(C33:C37)+1,"no content","Allow","Transform","Deny")</f>
        <v>Allow</v>
      </c>
      <c r="D38" s="15" t="str">
        <f aca="false">CHOOSE(MAX(D33:D37)+1,"no content","Allow","Transform","Deny")</f>
        <v>Transform</v>
      </c>
      <c r="E38" s="15" t="str">
        <f aca="false">CHOOSE(MAX(E33:E37)+1,"no content","Allow","Transform","Deny")</f>
        <v>Transform</v>
      </c>
    </row>
    <row r="40" customFormat="false" ht="15" hidden="false" customHeight="true" outlineLevel="0" collapsed="false">
      <c r="A40" s="9" t="s">
        <v>99</v>
      </c>
      <c r="B40" s="9" t="s">
        <v>29</v>
      </c>
      <c r="C40" s="9"/>
    </row>
    <row r="41" customFormat="false" ht="15" hidden="false" customHeight="true" outlineLevel="0" collapsed="false">
      <c r="A41" s="10" t="s">
        <v>100</v>
      </c>
      <c r="B41" s="14" t="n">
        <v>2</v>
      </c>
    </row>
    <row r="42" customFormat="false" ht="15" hidden="false" customHeight="true" outlineLevel="0" collapsed="false">
      <c r="A42" s="10" t="s">
        <v>101</v>
      </c>
      <c r="B42" s="14" t="n">
        <v>1</v>
      </c>
    </row>
    <row r="43" customFormat="false" ht="15" hidden="false" customHeight="true" outlineLevel="0" collapsed="false">
      <c r="A43" s="10" t="s">
        <v>102</v>
      </c>
      <c r="B43" s="14" t="n">
        <v>4</v>
      </c>
    </row>
    <row r="44" customFormat="false" ht="15" hidden="false" customHeight="true" outlineLevel="0" collapsed="false">
      <c r="A44" s="10" t="s">
        <v>103</v>
      </c>
      <c r="B44" s="14" t="n">
        <v>0</v>
      </c>
    </row>
    <row r="46" customFormat="false" ht="15" hidden="false" customHeight="true" outlineLevel="0" collapsed="false">
      <c r="A46" s="9" t="s">
        <v>104</v>
      </c>
      <c r="B46" s="9" t="s">
        <v>105</v>
      </c>
      <c r="C46" s="9" t="s">
        <v>22</v>
      </c>
    </row>
    <row r="47" customFormat="false" ht="15" hidden="false" customHeight="true" outlineLevel="0" collapsed="false">
      <c r="A47" s="15" t="s">
        <v>106</v>
      </c>
      <c r="B47" s="19" t="n">
        <f aca="false">B41+B42+B43+B44</f>
        <v>7</v>
      </c>
      <c r="C47" s="17" t="s">
        <v>107</v>
      </c>
    </row>
    <row r="48" customFormat="false" ht="15" hidden="false" customHeight="true" outlineLevel="0" collapsed="false">
      <c r="A48" s="15" t="s">
        <v>108</v>
      </c>
      <c r="B48" s="15" t="str">
        <f aca="false">C30</f>
        <v>Allow</v>
      </c>
      <c r="C48" s="17" t="s">
        <v>64</v>
      </c>
    </row>
    <row r="49" customFormat="false" ht="15" hidden="false" customHeight="true" outlineLevel="0" collapsed="false">
      <c r="A49" s="15" t="s">
        <v>109</v>
      </c>
      <c r="B49" s="15" t="str">
        <f aca="false">D30</f>
        <v>Deny</v>
      </c>
      <c r="C49" s="17" t="s">
        <v>110</v>
      </c>
    </row>
    <row r="50" customFormat="false" ht="15" hidden="false" customHeight="true" outlineLevel="0" collapsed="false">
      <c r="A50" s="15" t="s">
        <v>111</v>
      </c>
      <c r="B50" s="15" t="str">
        <f aca="false">D38</f>
        <v>Transform</v>
      </c>
      <c r="C50" s="17" t="s">
        <v>112</v>
      </c>
    </row>
    <row r="51" customFormat="false" ht="15" hidden="false" customHeight="true" outlineLevel="0" collapsed="false">
      <c r="A51" s="15" t="s">
        <v>113</v>
      </c>
      <c r="B51" s="15" t="str">
        <f aca="false">IF(AND(B27&gt;=B25,B27&gt;=B26,C27&gt;=C25,C27&gt;=C26,D27&gt;=D25,D27&gt;=D26,E27&gt;=E25,E27&gt;=E26),"yes","no")</f>
        <v>yes</v>
      </c>
      <c r="C51" s="17" t="s">
        <v>45</v>
      </c>
    </row>
    <row r="53" customFormat="false" ht="15" hidden="false" customHeight="false" outlineLevel="0" collapsed="false">
      <c r="A53" s="20" t="s">
        <v>114</v>
      </c>
    </row>
    <row r="54" customFormat="false" ht="15" hidden="false" customHeight="false" outlineLevel="0" collapsed="false">
      <c r="A54" s="20" t="s">
        <v>115</v>
      </c>
    </row>
    <row r="55" customFormat="false" ht="15" hidden="false" customHeight="false" outlineLevel="0" collapsed="false">
      <c r="A55" s="20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6"/>
    <col collapsed="false" customWidth="true" hidden="false" outlineLevel="0" max="5" min="5" style="0" width="18"/>
  </cols>
  <sheetData>
    <row r="1" customFormat="false" ht="15.75" hidden="false" customHeight="true" outlineLevel="0" collapsed="false">
      <c r="A1" s="8" t="s">
        <v>117</v>
      </c>
    </row>
    <row r="3" customFormat="false" ht="15" hidden="false" customHeight="true" outlineLevel="0" collapsed="false">
      <c r="A3" s="9" t="s">
        <v>118</v>
      </c>
      <c r="B3" s="9" t="s">
        <v>29</v>
      </c>
      <c r="C3" s="9"/>
    </row>
    <row r="4" customFormat="false" ht="15" hidden="false" customHeight="true" outlineLevel="0" collapsed="false">
      <c r="A4" s="10" t="s">
        <v>119</v>
      </c>
      <c r="B4" s="12" t="n">
        <v>2000</v>
      </c>
    </row>
    <row r="5" customFormat="false" ht="15" hidden="false" customHeight="true" outlineLevel="0" collapsed="false">
      <c r="A5" s="10" t="s">
        <v>120</v>
      </c>
      <c r="B5" s="14" t="n">
        <v>40</v>
      </c>
    </row>
    <row r="6" customFormat="false" ht="15" hidden="false" customHeight="true" outlineLevel="0" collapsed="false">
      <c r="A6" s="10" t="s">
        <v>121</v>
      </c>
      <c r="B6" s="12" t="n">
        <v>9000</v>
      </c>
    </row>
    <row r="7" customFormat="false" ht="15" hidden="false" customHeight="true" outlineLevel="0" collapsed="false">
      <c r="A7" s="10" t="s">
        <v>122</v>
      </c>
      <c r="B7" s="14" t="n">
        <v>10</v>
      </c>
    </row>
    <row r="8" customFormat="false" ht="15" hidden="false" customHeight="true" outlineLevel="0" collapsed="false">
      <c r="A8" s="10" t="s">
        <v>123</v>
      </c>
      <c r="B8" s="24" t="n">
        <v>0.14</v>
      </c>
    </row>
    <row r="9" customFormat="false" ht="15" hidden="false" customHeight="true" outlineLevel="0" collapsed="false">
      <c r="A9" s="10" t="s">
        <v>124</v>
      </c>
      <c r="B9" s="24" t="n">
        <v>0.6</v>
      </c>
    </row>
    <row r="10" customFormat="false" ht="15" hidden="false" customHeight="true" outlineLevel="0" collapsed="false">
      <c r="A10" s="10" t="s">
        <v>125</v>
      </c>
      <c r="B10" s="24" t="n">
        <v>0.25</v>
      </c>
    </row>
    <row r="11" customFormat="false" ht="15" hidden="false" customHeight="true" outlineLevel="0" collapsed="false">
      <c r="A11" s="10" t="s">
        <v>126</v>
      </c>
      <c r="B11" s="24" t="n">
        <v>0.15</v>
      </c>
    </row>
    <row r="13" customFormat="false" ht="15" hidden="false" customHeight="true" outlineLevel="0" collapsed="false">
      <c r="A13" s="9" t="s">
        <v>127</v>
      </c>
      <c r="B13" s="9" t="s">
        <v>29</v>
      </c>
      <c r="C13" s="9"/>
    </row>
    <row r="14" customFormat="false" ht="15" hidden="false" customHeight="true" outlineLevel="0" collapsed="false">
      <c r="A14" s="10" t="s">
        <v>128</v>
      </c>
      <c r="B14" s="12" t="n">
        <v>8000</v>
      </c>
    </row>
    <row r="15" customFormat="false" ht="15" hidden="false" customHeight="true" outlineLevel="0" collapsed="false">
      <c r="A15" s="10" t="s">
        <v>129</v>
      </c>
      <c r="B15" s="12" t="n">
        <v>1597</v>
      </c>
    </row>
    <row r="16" customFormat="false" ht="15" hidden="false" customHeight="true" outlineLevel="0" collapsed="false">
      <c r="A16" s="10" t="s">
        <v>130</v>
      </c>
      <c r="B16" s="12" t="n">
        <v>4800</v>
      </c>
    </row>
    <row r="17" customFormat="false" ht="15" hidden="false" customHeight="true" outlineLevel="0" collapsed="false">
      <c r="A17" s="10" t="s">
        <v>131</v>
      </c>
      <c r="B17" s="25" t="n">
        <v>0.5</v>
      </c>
    </row>
    <row r="18" customFormat="false" ht="15" hidden="false" customHeight="true" outlineLevel="0" collapsed="false">
      <c r="A18" s="10" t="s">
        <v>132</v>
      </c>
      <c r="B18" s="12"/>
    </row>
    <row r="19" customFormat="false" ht="15" hidden="false" customHeight="true" outlineLevel="0" collapsed="false">
      <c r="A19" s="10" t="s">
        <v>133</v>
      </c>
      <c r="B19" s="24" t="n">
        <v>0.7</v>
      </c>
    </row>
    <row r="20" customFormat="false" ht="15" hidden="false" customHeight="true" outlineLevel="0" collapsed="false">
      <c r="A20" s="10" t="s">
        <v>134</v>
      </c>
      <c r="B20" s="14" t="n">
        <v>8</v>
      </c>
    </row>
    <row r="21" customFormat="false" ht="15" hidden="false" customHeight="true" outlineLevel="0" collapsed="false">
      <c r="A21" s="10" t="s">
        <v>135</v>
      </c>
      <c r="B21" s="14" t="n">
        <v>2</v>
      </c>
    </row>
    <row r="22" customFormat="false" ht="15" hidden="false" customHeight="true" outlineLevel="0" collapsed="false">
      <c r="A22" s="10" t="s">
        <v>136</v>
      </c>
      <c r="B22" s="14" t="n">
        <v>11</v>
      </c>
    </row>
    <row r="23" customFormat="false" ht="15" hidden="false" customHeight="true" outlineLevel="0" collapsed="false">
      <c r="A23" s="10" t="s">
        <v>137</v>
      </c>
      <c r="B23" s="14" t="n">
        <v>7</v>
      </c>
    </row>
    <row r="25" customFormat="false" ht="15" hidden="false" customHeight="true" outlineLevel="0" collapsed="false">
      <c r="A25" s="9" t="s">
        <v>138</v>
      </c>
      <c r="B25" s="9" t="s">
        <v>105</v>
      </c>
      <c r="C25" s="9" t="s">
        <v>22</v>
      </c>
    </row>
    <row r="26" customFormat="false" ht="15" hidden="false" customHeight="true" outlineLevel="0" collapsed="false">
      <c r="A26" s="15" t="s">
        <v>139</v>
      </c>
      <c r="B26" s="18" t="n">
        <f aca="false">B4*B5*B6/10^6</f>
        <v>720</v>
      </c>
      <c r="C26" s="17" t="s">
        <v>140</v>
      </c>
    </row>
    <row r="27" customFormat="false" ht="15" hidden="false" customHeight="true" outlineLevel="0" collapsed="false">
      <c r="A27" s="15" t="s">
        <v>141</v>
      </c>
      <c r="B27" s="18" t="n">
        <f aca="false">B26*10^6/(B7*3600)</f>
        <v>20000</v>
      </c>
      <c r="C27" s="17" t="s">
        <v>142</v>
      </c>
    </row>
    <row r="28" customFormat="false" ht="15" hidden="false" customHeight="true" outlineLevel="0" collapsed="false">
      <c r="A28" s="15" t="s">
        <v>143</v>
      </c>
      <c r="B28" s="26" t="n">
        <f aca="false">B26*B8</f>
        <v>100.8</v>
      </c>
      <c r="C28" s="17" t="s">
        <v>144</v>
      </c>
    </row>
    <row r="29" customFormat="false" ht="15" hidden="false" customHeight="true" outlineLevel="0" collapsed="false">
      <c r="A29" s="15" t="s">
        <v>145</v>
      </c>
      <c r="B29" s="18" t="n">
        <f aca="false">B28*10^6/3600</f>
        <v>28000</v>
      </c>
      <c r="C29" s="17" t="s">
        <v>146</v>
      </c>
    </row>
    <row r="30" customFormat="false" ht="15" hidden="false" customHeight="true" outlineLevel="0" collapsed="false">
      <c r="A30" s="15" t="s">
        <v>147</v>
      </c>
      <c r="B30" s="18" t="n">
        <f aca="false">B29*B9</f>
        <v>16800</v>
      </c>
      <c r="C30" s="17" t="s">
        <v>148</v>
      </c>
    </row>
    <row r="31" customFormat="false" ht="15" hidden="false" customHeight="true" outlineLevel="0" collapsed="false">
      <c r="A31" s="15" t="s">
        <v>149</v>
      </c>
      <c r="B31" s="18" t="n">
        <f aca="false">B14*B15/B16</f>
        <v>2661.66666666667</v>
      </c>
      <c r="C31" s="17" t="s">
        <v>150</v>
      </c>
    </row>
    <row r="32" customFormat="false" ht="15" hidden="false" customHeight="true" outlineLevel="0" collapsed="false">
      <c r="A32" s="15" t="s">
        <v>151</v>
      </c>
      <c r="B32" s="18" t="n">
        <f aca="false">B14*B17</f>
        <v>4000</v>
      </c>
      <c r="C32" s="17" t="s">
        <v>152</v>
      </c>
    </row>
    <row r="33" customFormat="false" ht="15" hidden="false" customHeight="true" outlineLevel="0" collapsed="false">
      <c r="A33" s="15" t="s">
        <v>153</v>
      </c>
      <c r="B33" s="18" t="n">
        <f aca="false">IF(B18="",ROUND(MIN(B31,B32),-2),B18)</f>
        <v>2700</v>
      </c>
      <c r="C33" s="17" t="s">
        <v>154</v>
      </c>
    </row>
    <row r="34" customFormat="false" ht="15" hidden="false" customHeight="true" outlineLevel="0" collapsed="false">
      <c r="A34" s="15" t="s">
        <v>155</v>
      </c>
      <c r="B34" s="26" t="n">
        <f aca="false">B30/(B19*B33)</f>
        <v>8.88888888888889</v>
      </c>
      <c r="C34" s="17" t="s">
        <v>156</v>
      </c>
    </row>
    <row r="35" customFormat="false" ht="15" hidden="false" customHeight="true" outlineLevel="0" collapsed="false">
      <c r="A35" s="15" t="s">
        <v>157</v>
      </c>
      <c r="B35" s="19" t="n">
        <f aca="false">ROUNDUP(B34,0)</f>
        <v>9</v>
      </c>
      <c r="C35" s="17" t="s">
        <v>158</v>
      </c>
    </row>
    <row r="36" customFormat="false" ht="15" hidden="false" customHeight="true" outlineLevel="0" collapsed="false">
      <c r="A36" s="15" t="s">
        <v>159</v>
      </c>
      <c r="B36" s="27" t="n">
        <f aca="false">B30/(B20*B33)</f>
        <v>0.777777777777778</v>
      </c>
      <c r="C36" s="17" t="s">
        <v>160</v>
      </c>
    </row>
    <row r="37" customFormat="false" ht="15" hidden="false" customHeight="true" outlineLevel="0" collapsed="false">
      <c r="A37" s="15" t="s">
        <v>161</v>
      </c>
      <c r="B37" s="27" t="n">
        <f aca="false">B30/(B21*B20*B33)</f>
        <v>0.388888888888889</v>
      </c>
      <c r="C37" s="17" t="s">
        <v>162</v>
      </c>
    </row>
    <row r="38" customFormat="false" ht="15" hidden="false" customHeight="true" outlineLevel="0" collapsed="false">
      <c r="A38" s="15" t="s">
        <v>163</v>
      </c>
      <c r="B38" s="27" t="n">
        <f aca="false">B30/(B22*B33)</f>
        <v>0.565656565656566</v>
      </c>
      <c r="C38" s="17" t="s">
        <v>164</v>
      </c>
    </row>
    <row r="39" customFormat="false" ht="15" hidden="false" customHeight="true" outlineLevel="0" collapsed="false">
      <c r="A39" s="15" t="s">
        <v>165</v>
      </c>
      <c r="B39" s="27" t="n">
        <f aca="false">B30/(B23*B33)</f>
        <v>0.888888888888889</v>
      </c>
      <c r="C39" s="17" t="s">
        <v>166</v>
      </c>
    </row>
    <row r="40" customFormat="false" ht="15" hidden="false" customHeight="true" outlineLevel="0" collapsed="false">
      <c r="A40" s="15" t="s">
        <v>167</v>
      </c>
      <c r="B40" s="15" t="str">
        <f aca="false">IF(B38&lt;=B19,"yes","no")</f>
        <v>yes</v>
      </c>
      <c r="C40" s="17" t="s">
        <v>45</v>
      </c>
    </row>
    <row r="42" customFormat="false" ht="15" hidden="false" customHeight="false" outlineLevel="0" collapsed="false">
      <c r="A42" s="9" t="s">
        <v>168</v>
      </c>
      <c r="B42" s="9" t="s">
        <v>169</v>
      </c>
      <c r="C42" s="9" t="s">
        <v>170</v>
      </c>
      <c r="D42" s="9" t="s">
        <v>171</v>
      </c>
      <c r="E42" s="9" t="s">
        <v>22</v>
      </c>
    </row>
    <row r="43" customFormat="false" ht="15" hidden="false" customHeight="false" outlineLevel="0" collapsed="false">
      <c r="A43" s="10" t="s">
        <v>172</v>
      </c>
      <c r="B43" s="12"/>
      <c r="C43" s="12" t="n">
        <v>2000</v>
      </c>
      <c r="D43" s="12"/>
    </row>
    <row r="44" customFormat="false" ht="15" hidden="false" customHeight="false" outlineLevel="0" collapsed="false">
      <c r="A44" s="10" t="s">
        <v>173</v>
      </c>
      <c r="B44" s="24" t="n">
        <v>0.25</v>
      </c>
      <c r="C44" s="24" t="n">
        <v>0.25</v>
      </c>
      <c r="D44" s="24" t="n">
        <v>0.1</v>
      </c>
    </row>
    <row r="45" customFormat="false" ht="15" hidden="false" customHeight="false" outlineLevel="0" collapsed="false">
      <c r="A45" s="10" t="s">
        <v>174</v>
      </c>
      <c r="B45" s="24" t="n">
        <v>0.15</v>
      </c>
      <c r="C45" s="24" t="n">
        <v>0.15</v>
      </c>
      <c r="D45" s="24" t="n">
        <v>0.15</v>
      </c>
    </row>
    <row r="46" customFormat="false" ht="15" hidden="false" customHeight="false" outlineLevel="0" collapsed="false">
      <c r="A46" s="15" t="s">
        <v>175</v>
      </c>
      <c r="B46" s="18" t="n">
        <f aca="false">IF(B43="",B33,B43)</f>
        <v>2700</v>
      </c>
      <c r="C46" s="18" t="n">
        <f aca="false">IF(C43="",B33,C43)</f>
        <v>2000</v>
      </c>
      <c r="D46" s="18" t="n">
        <f aca="false">IF(D43="",B33,D43)</f>
        <v>2700</v>
      </c>
      <c r="E46" s="17"/>
    </row>
    <row r="47" customFormat="false" ht="15" hidden="false" customHeight="false" outlineLevel="0" collapsed="false">
      <c r="A47" s="15" t="s">
        <v>147</v>
      </c>
      <c r="B47" s="18" t="n">
        <f aca="false">B29*(1-B44-B45)</f>
        <v>16800</v>
      </c>
      <c r="C47" s="18" t="n">
        <f aca="false">B29*(1-C44-C45)</f>
        <v>16800</v>
      </c>
      <c r="D47" s="18" t="n">
        <f aca="false">B29*(1-D44-D45)</f>
        <v>21000</v>
      </c>
      <c r="E47" s="17" t="s">
        <v>176</v>
      </c>
    </row>
    <row r="48" customFormat="false" ht="15" hidden="false" customHeight="false" outlineLevel="0" collapsed="false">
      <c r="A48" s="15" t="s">
        <v>177</v>
      </c>
      <c r="B48" s="27" t="n">
        <f aca="false">B47/(B22*B46)</f>
        <v>0.565656565656566</v>
      </c>
      <c r="C48" s="27" t="n">
        <f aca="false">C47/(B22*C46)</f>
        <v>0.763636363636364</v>
      </c>
      <c r="D48" s="27" t="n">
        <f aca="false">D47/(B22*D46)</f>
        <v>0.707070707070707</v>
      </c>
      <c r="E48" s="17" t="s">
        <v>178</v>
      </c>
    </row>
    <row r="49" customFormat="false" ht="15" hidden="false" customHeight="false" outlineLevel="0" collapsed="false">
      <c r="A49" s="15" t="s">
        <v>179</v>
      </c>
      <c r="B49" s="18" t="n">
        <f aca="false">B23*B46</f>
        <v>18900</v>
      </c>
      <c r="C49" s="18" t="n">
        <f aca="false">B23*C46</f>
        <v>14000</v>
      </c>
      <c r="D49" s="18" t="n">
        <f aca="false">B23*D46</f>
        <v>18900</v>
      </c>
      <c r="E49" s="17" t="s">
        <v>180</v>
      </c>
    </row>
    <row r="50" customFormat="false" ht="15" hidden="false" customHeight="false" outlineLevel="0" collapsed="false">
      <c r="A50" s="15" t="s">
        <v>181</v>
      </c>
      <c r="B50" s="27" t="n">
        <f aca="false">B47/B49</f>
        <v>0.888888888888889</v>
      </c>
      <c r="C50" s="27" t="n">
        <f aca="false">C47/C49</f>
        <v>1.2</v>
      </c>
      <c r="D50" s="27" t="n">
        <f aca="false">D47/D49</f>
        <v>1.11111111111111</v>
      </c>
      <c r="E50" s="17" t="s">
        <v>182</v>
      </c>
    </row>
    <row r="52" customFormat="false" ht="15" hidden="false" customHeight="true" outlineLevel="0" collapsed="false">
      <c r="A52" s="9" t="s">
        <v>183</v>
      </c>
      <c r="B52" s="9" t="s">
        <v>105</v>
      </c>
      <c r="C52" s="9" t="s">
        <v>22</v>
      </c>
    </row>
    <row r="53" customFormat="false" ht="15" hidden="false" customHeight="true" outlineLevel="0" collapsed="false">
      <c r="A53" s="10" t="s">
        <v>184</v>
      </c>
      <c r="B53" s="14" t="n">
        <v>22</v>
      </c>
    </row>
    <row r="54" customFormat="false" ht="15" hidden="false" customHeight="true" outlineLevel="0" collapsed="false">
      <c r="A54" s="10" t="s">
        <v>185</v>
      </c>
      <c r="B54" s="25" t="n">
        <v>2</v>
      </c>
    </row>
    <row r="55" customFormat="false" ht="15" hidden="false" customHeight="true" outlineLevel="0" collapsed="false">
      <c r="A55" s="10" t="s">
        <v>186</v>
      </c>
      <c r="B55" s="25" t="n">
        <v>10</v>
      </c>
    </row>
    <row r="56" customFormat="false" ht="15" hidden="false" customHeight="true" outlineLevel="0" collapsed="false">
      <c r="A56" s="10" t="s">
        <v>187</v>
      </c>
      <c r="B56" s="14" t="n">
        <v>8</v>
      </c>
    </row>
    <row r="57" customFormat="false" ht="15" hidden="false" customHeight="true" outlineLevel="0" collapsed="false">
      <c r="A57" s="10" t="s">
        <v>188</v>
      </c>
      <c r="B57" s="14" t="n">
        <v>4</v>
      </c>
    </row>
    <row r="58" customFormat="false" ht="15" hidden="false" customHeight="true" outlineLevel="0" collapsed="false">
      <c r="A58" s="10" t="s">
        <v>189</v>
      </c>
      <c r="B58" s="24" t="n">
        <v>0.1</v>
      </c>
    </row>
    <row r="59" customFormat="false" ht="15" hidden="false" customHeight="true" outlineLevel="0" collapsed="false">
      <c r="A59" s="15" t="s">
        <v>190</v>
      </c>
      <c r="B59" s="19" t="n">
        <f aca="false">B26*B11</f>
        <v>108</v>
      </c>
      <c r="C59" s="17" t="s">
        <v>191</v>
      </c>
    </row>
    <row r="60" customFormat="false" ht="15" hidden="false" customHeight="true" outlineLevel="0" collapsed="false">
      <c r="A60" s="15" t="s">
        <v>192</v>
      </c>
      <c r="B60" s="16" t="n">
        <f aca="false">(B56*B54+B55)/(B56+1)</f>
        <v>2.88888888888889</v>
      </c>
      <c r="C60" s="17" t="s">
        <v>193</v>
      </c>
    </row>
    <row r="61" customFormat="false" ht="15" hidden="false" customHeight="true" outlineLevel="0" collapsed="false">
      <c r="A61" s="15" t="s">
        <v>194</v>
      </c>
      <c r="B61" s="18" t="n">
        <f aca="false">B59*B53*B60</f>
        <v>6864</v>
      </c>
      <c r="C61" s="17" t="s">
        <v>195</v>
      </c>
    </row>
    <row r="62" customFormat="false" ht="15" hidden="false" customHeight="true" outlineLevel="0" collapsed="false">
      <c r="A62" s="15" t="s">
        <v>196</v>
      </c>
      <c r="B62" s="16" t="n">
        <f aca="false">(B57*B54+B55)/(B57+1)</f>
        <v>3.6</v>
      </c>
      <c r="C62" s="17" t="s">
        <v>197</v>
      </c>
    </row>
    <row r="63" customFormat="false" ht="15" hidden="false" customHeight="true" outlineLevel="0" collapsed="false">
      <c r="A63" s="15" t="s">
        <v>198</v>
      </c>
      <c r="B63" s="18" t="n">
        <f aca="false">B59*B53*B62</f>
        <v>8553.6</v>
      </c>
      <c r="C63" s="17" t="s">
        <v>199</v>
      </c>
    </row>
    <row r="64" customFormat="false" ht="15" hidden="false" customHeight="true" outlineLevel="0" collapsed="false">
      <c r="A64" s="15" t="s">
        <v>200</v>
      </c>
      <c r="B64" s="18" t="n">
        <f aca="false">B61*(1+B58)</f>
        <v>7550.4</v>
      </c>
    </row>
    <row r="66" customFormat="false" ht="15" hidden="false" customHeight="false" outlineLevel="0" collapsed="false">
      <c r="A66" s="20" t="s">
        <v>201</v>
      </c>
    </row>
    <row r="67" customFormat="false" ht="15" hidden="false" customHeight="false" outlineLevel="0" collapsed="false">
      <c r="A67" s="20" t="s">
        <v>202</v>
      </c>
    </row>
    <row r="68" customFormat="false" ht="15" hidden="false" customHeight="false" outlineLevel="0" collapsed="false">
      <c r="A68" s="20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2026-10-26T13:26:55Z</dcterms:created>
  <dc:creator>openpyxl</dc:creator>
  <dc:description/>
  <dc:language>en-US</dc:language>
  <cp:lastModifiedBy/>
  <dcterms:modified xsi:type="dcterms:W3CDTF">2026-10-26T13:26:55Z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