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Image Tokens" sheetId="2" state="visible" r:id="rId4"/>
    <sheet name="Page Images" sheetId="3" state="visible" r:id="rId5"/>
    <sheet name="Video" sheetId="4" state="visible" r:id="rId6"/>
    <sheet name="Audio Tokens" sheetId="5" state="visible" r:id="rId7"/>
  </sheets>
  <calcPr iterateCount="100" refMode="A1" iterate="false" iterateDelta="0.0001" fullCalcOnLoad="1"/>
  <extLst>
    <ext xmlns:loext="http://schemas.libreoffice.org/" uri="{7626C862-2A13-11E5-B345-FEFF819CDC9F}">
      <loext:extCalcPr stringRefSyntax="ExcelA1"/>
    </ext>
  </extLst>
</workbook>
</file>

<file path=xl/sharedStrings.xml><?xml version="1.0" encoding="utf-8"?>
<sst xmlns="http://schemas.openxmlformats.org/spreadsheetml/2006/main" count="145" uniqueCount="140">
  <si>
    <t xml:space="preserve">Chapter 9 — Multimodal Architectures</t>
  </si>
  <si>
    <t xml:space="preserve">Companion workbook of The Birth and Adolescence of Artificial Intelligence, Volume 1, by Leonhard Korowajczuk. Blue cells on a light yellow background are inputs: change them and every result recalculates.</t>
  </si>
  <si>
    <t xml:space="preserve">Sheet</t>
  </si>
  <si>
    <t xml:space="preserve">What it computes</t>
  </si>
  <si>
    <t xml:space="preserve">Book reference</t>
  </si>
  <si>
    <t xml:space="preserve">Image Tokens</t>
  </si>
  <si>
    <t xml:space="preserve">Patches and tokens for fixed-resolution encoders, Qwen2.5-VL dynamic resolution and the two Claude tiers, and five schemes compared on one image.</t>
  </si>
  <si>
    <t xml:space="preserve">Worked Example 9.1, Figure 9.3</t>
  </si>
  <si>
    <t xml:space="preserve">Page Images</t>
  </si>
  <si>
    <t xml:space="preserve">Tokens, compute, KV cache and context fit to read a document as page images.</t>
  </si>
  <si>
    <t xml:space="preserve">Worked Example 9.2</t>
  </si>
  <si>
    <t xml:space="preserve">Video</t>
  </si>
  <si>
    <t xml:space="preserve">Tokens for sampled frames with temporal merging.</t>
  </si>
  <si>
    <t xml:space="preserve">Section 9.4</t>
  </si>
  <si>
    <t xml:space="preserve">Audio Tokens</t>
  </si>
  <si>
    <t xml:space="preserve">Transcript, Whisper encoder positions, codec tokens and audio-LLM tokens for a recording.</t>
  </si>
  <si>
    <t xml:space="preserve">Worked Example 9.3</t>
  </si>
  <si>
    <t xml:space="preserve">Notes</t>
  </si>
  <si>
    <t xml:space="preserve">Image-token rules follow published descriptions; providers change them, so check current documentation (Table 27.5, Volume 2).</t>
  </si>
  <si>
    <t xml:space="preserve">Units are decimal (1 GB = 10^9 bytes).</t>
  </si>
  <si>
    <t xml:space="preserve">Image Tokens under Different Schemes (Worked Example 9.1, Figure 9.3)</t>
  </si>
  <si>
    <t xml:space="preserve">Fixed-resolution encoder (Worked Example 9.1)</t>
  </si>
  <si>
    <t xml:space="preserve">Resolution (px)</t>
  </si>
  <si>
    <t xml:space="preserve">Patch size (px)</t>
  </si>
  <si>
    <t xml:space="preserve">Pooling per side</t>
  </si>
  <si>
    <t xml:space="preserve">Patches per side</t>
  </si>
  <si>
    <t xml:space="preserve">Patches</t>
  </si>
  <si>
    <t xml:space="preserve">Tokens to the language model</t>
  </si>
  <si>
    <t xml:space="preserve">ViT-L/14, the CLIP encoder, at 224 px</t>
  </si>
  <si>
    <t xml:space="preserve">LLaVA-1.5: CLIP ViT-L/14 at 336 px</t>
  </si>
  <si>
    <t xml:space="preserve">Gemma 3: SigLIP 400M at 896 px, pooled 4 × 4</t>
  </si>
  <si>
    <t xml:space="preserve">Pixel values per patch, ViT-L/14 (patch × patch × 3 colors)</t>
  </si>
  <si>
    <t xml:space="preserve">336 px against 224 px: resolution ratio</t>
  </si>
  <si>
    <t xml:space="preserve">336 px against 224 px: patch ratio</t>
  </si>
  <si>
    <t xml:space="preserve">Dynamic resolution: Qwen2.5-VL (Worked Example 9.1)</t>
  </si>
  <si>
    <t xml:space="preserve">Photo (Worked Example 9.1)</t>
  </si>
  <si>
    <t xml:space="preserve">A4 page at 150 dpi (Worked Example 9.2)</t>
  </si>
  <si>
    <t xml:space="preserve">Image width (px)</t>
  </si>
  <si>
    <t xml:space="preserve">Image height (px)</t>
  </si>
  <si>
    <t xml:space="preserve">Merge per side (2 = each 2 × 2 group of patches becomes one token)</t>
  </si>
  <si>
    <t xml:space="preserve">Minimum tokens per image (default)</t>
  </si>
  <si>
    <t xml:space="preserve">Maximum tokens per image (default)</t>
  </si>
  <si>
    <t xml:space="preserve">Pixels per token side (patch × merge)</t>
  </si>
  <si>
    <t xml:space="preserve">Width rounded to a multiple of that side (px)</t>
  </si>
  <si>
    <t xml:space="preserve">Height rounded to a multiple of that side (px)</t>
  </si>
  <si>
    <t xml:space="preserve">Resized width within the default limits (px)</t>
  </si>
  <si>
    <t xml:space="preserve">Resized height within the default limits (px)</t>
  </si>
  <si>
    <t xml:space="preserve">Patch columns</t>
  </si>
  <si>
    <t xml:space="preserve">Patch rows</t>
  </si>
  <si>
    <t xml:space="preserve">Tokens to the language model (patches ÷ merge²)</t>
  </si>
  <si>
    <t xml:space="preserve">Claude: ⌈width/28⌉ × ⌈height/28⌉ tokens after resizing (Section 9.3.1)</t>
  </si>
  <si>
    <t xml:space="preserve">Standard tier</t>
  </si>
  <si>
    <t xml:space="preserve">High-resolution tier (Claude 4.7 and later)</t>
  </si>
  <si>
    <t xml:space="preserve">Long-edge limit (px)</t>
  </si>
  <si>
    <t xml:space="preserve">Token cap per image</t>
  </si>
  <si>
    <t xml:space="preserve">Pixels per token side</t>
  </si>
  <si>
    <t xml:space="preserve">Photo: scale to fit the long-edge limit</t>
  </si>
  <si>
    <t xml:space="preserve">Photo: tokens at that scale</t>
  </si>
  <si>
    <t xml:space="preserve">Photo: tokens within the cap (largest image under it)</t>
  </si>
  <si>
    <t xml:space="preserve">A4 page: scale to fit the long-edge limit</t>
  </si>
  <si>
    <t xml:space="preserve">A4 page: tokens at that scale</t>
  </si>
  <si>
    <t xml:space="preserve">A4 page: tokens within the cap (largest image under it)</t>
  </si>
  <si>
    <t xml:space="preserve">Five schemes for the same image (compare Figure 9.3)</t>
  </si>
  <si>
    <t xml:space="preserve">Photo</t>
  </si>
  <si>
    <t xml:space="preserve">A4 page</t>
  </si>
  <si>
    <t xml:space="preserve">A4 page ÷ its text tokens</t>
  </si>
  <si>
    <t xml:space="preserve">Gemma 3: fixed 896 px, pooled (one crop)</t>
  </si>
  <si>
    <t xml:space="preserve">LLaVA-1.5: fixed 336 px</t>
  </si>
  <si>
    <t xml:space="preserve">Qwen2.5-VL: dynamic resolution</t>
  </si>
  <si>
    <t xml:space="preserve">Claude, standard tier</t>
  </si>
  <si>
    <t xml:space="preserve">Claude, high-resolution tier</t>
  </si>
  <si>
    <t xml:space="preserve">Text tokens of the same A4 page (for comparison)</t>
  </si>
  <si>
    <t xml:space="preserve">Qwen2.5-VL rounds each side to the nearest multiple of 28 px and keeps 4–16,384 tokens per image by default (Table 9.1). Claude scales an image down, keeping its aspect ratio, to fit the long-edge limit and then to the largest size whose count is within the cap. Gemma 3’s pan-and-scan adds 256 tokens per extra crop. Providers change these rules: check Table 27.5 (Volume 2) and current documentation.</t>
  </si>
  <si>
    <t xml:space="preserve">Reading a Document as Page Images (Worked Example 9.2)</t>
  </si>
  <si>
    <t xml:space="preserve">Pages</t>
  </si>
  <si>
    <t xml:space="preserve">Page width (px): an A4 page scanned at 150 dpi</t>
  </si>
  <si>
    <t xml:space="preserve">Page height (px)</t>
  </si>
  <si>
    <t xml:space="preserve">Patch size (px), Qwen2.5-VL</t>
  </si>
  <si>
    <t xml:space="preserve">Merge per side (2 × 2 patches per token)</t>
  </si>
  <si>
    <t xml:space="preserve">Text tokens per page</t>
  </si>
  <si>
    <t xml:space="preserve">LLM GFLOPs per token (2 × about 7.1 billion parameters outside the input embedding)</t>
  </si>
  <si>
    <t xml:space="preserve">Vision encoder parameters (billions)</t>
  </si>
  <si>
    <t xml:space="preserve">Effective compute (TFLOP/s)</t>
  </si>
  <si>
    <t xml:space="preserve">LLM layers</t>
  </si>
  <si>
    <t xml:space="preserve">KV heads</t>
  </si>
  <si>
    <t xml:space="preserve">Head dimension</t>
  </si>
  <si>
    <t xml:space="preserve">Bytes per cached value (16 bits)</t>
  </si>
  <si>
    <t xml:space="preserve">Pages in one prompt</t>
  </si>
  <si>
    <t xml:space="preserve">Default context of the model (tokens)</t>
  </si>
  <si>
    <t xml:space="preserve">Quantity</t>
  </si>
  <si>
    <t xml:space="preserve">Value</t>
  </si>
  <si>
    <t xml:space="preserve">Image tokens per page (one per 28 × 28 px)</t>
  </si>
  <si>
    <t xml:space="preserve">Patches per page</t>
  </si>
  <si>
    <t xml:space="preserve">Image tokens, whole document (millions)</t>
  </si>
  <si>
    <t xml:space="preserve">Text tokens, whole document (millions)</t>
  </si>
  <si>
    <t xml:space="preserve">LLM TFLOPs per page</t>
  </si>
  <si>
    <t xml:space="preserve">Encoder TFLOPs per page</t>
  </si>
  <si>
    <t xml:space="preserve">Total TFLOPs per page</t>
  </si>
  <si>
    <t xml:space="preserve">Seconds per page</t>
  </si>
  <si>
    <t xml:space="preserve">Minutes for the document</t>
  </si>
  <si>
    <t xml:space="preserve">KV bytes per token</t>
  </si>
  <si>
    <t xml:space="preserve">KV cache per page (MB)</t>
  </si>
  <si>
    <t xml:space="preserve">Tokens in one prompt</t>
  </si>
  <si>
    <t xml:space="preserve">KV cache for the prompt (GB)</t>
  </si>
  <si>
    <t xml:space="preserve">Pages that fit in the default context</t>
  </si>
  <si>
    <t xml:space="preserve">Defaults: Qwen2.5-VL-7B, whose language model has 28 layers and 4 key–value heads of 128, on a Box GPU. Tokens per page follow the Qwen2.5-VL rule of the Image Tokens sheet (sides rounded to multiples of 28 px), valid below its default cap of 16,384 tokens per image.</t>
  </si>
  <si>
    <t xml:space="preserve">Video Tokens with Frame Sampling and Temporal Merging (Section 9.4)</t>
  </si>
  <si>
    <t xml:space="preserve">Duration (minutes)</t>
  </si>
  <si>
    <t xml:space="preserve">Frames per second sampled</t>
  </si>
  <si>
    <t xml:space="preserve">Frame width (px)</t>
  </si>
  <si>
    <t xml:space="preserve">Frame height (px)</t>
  </si>
  <si>
    <t xml:space="preserve">Pixels per token side (14-px patches merged 2 × 2)</t>
  </si>
  <si>
    <t xml:space="preserve">Frames merged per temporal patch</t>
  </si>
  <si>
    <t xml:space="preserve">Frames</t>
  </si>
  <si>
    <t xml:space="preserve">Tokens per temporal patch</t>
  </si>
  <si>
    <t xml:space="preserve">Total tokens</t>
  </si>
  <si>
    <t xml:space="preserve">Tokens for one hour at these settings</t>
  </si>
  <si>
    <t xml:space="preserve">Defaults: Qwen2.5-VL at two frames per second and 448 × 448 pixels, with two consecutive frames per temporal patch (Section 9.4): one minute costs 15,360 tokens and an hour exceeds 900,000.</t>
  </si>
  <si>
    <t xml:space="preserve">Token Cost of a Recording (Worked Example 9.3)</t>
  </si>
  <si>
    <t xml:space="preserve">Words per minute</t>
  </si>
  <si>
    <t xml:space="preserve">Tokens per word (English, Section 1.8.1)</t>
  </si>
  <si>
    <t xml:space="preserve">Whisper encoder positions per 30-s window</t>
  </si>
  <si>
    <t xml:space="preserve">Codec frames per second (Mimi)</t>
  </si>
  <si>
    <t xml:space="preserve">Codebook tokens per frame (Moshi)</t>
  </si>
  <si>
    <t xml:space="preserve">Qwen2-Audio pooling of the Whisper output</t>
  </si>
  <si>
    <t xml:space="preserve">Gemini audio tokens per second (Table 27.5, Volume 2)</t>
  </si>
  <si>
    <t xml:space="preserve">Transcript words</t>
  </si>
  <si>
    <t xml:space="preserve">Transcript tokens</t>
  </si>
  <si>
    <t xml:space="preserve">Whisper windows of 30 s</t>
  </si>
  <si>
    <t xml:space="preserve">Whisper encoder positions</t>
  </si>
  <si>
    <t xml:space="preserve">Codec frames (one per 80 ms)</t>
  </si>
  <si>
    <t xml:space="preserve">Codec tokens, all codebooks</t>
  </si>
  <si>
    <t xml:space="preserve">Qwen2-Audio tokens per second</t>
  </si>
  <si>
    <t xml:space="preserve">Qwen2-Audio tokens</t>
  </si>
  <si>
    <t xml:space="preserve">Gemini audio tokens</t>
  </si>
  <si>
    <t xml:space="preserve">Moshi temporal Transformer steps (one per frame)</t>
  </si>
  <si>
    <t xml:space="preserve">Moshi steps ÷ transcript tokens</t>
  </si>
  <si>
    <t xml:space="preserve">Qwen2-Audio tokens ÷ transcript tokens</t>
  </si>
  <si>
    <t xml:space="preserve">Gemini tokens ÷ transcript tokens</t>
  </si>
  <si>
    <t xml:space="preserve">Rows 23–25: transcribing once and indexing the text is roughly 4 to 10 times cheaper in context than keeping the audio. Encoder positions and codec tokens are what an audio model sees before pooling; Moshi models its codebooks in parallel rather than as one long sequence.</t>
  </si>
</sst>
</file>

<file path=xl/styles.xml><?xml version="1.0" encoding="utf-8"?>
<styleSheet xmlns="http://schemas.openxmlformats.org/spreadsheetml/2006/main">
  <numFmts count="6">
    <numFmt numFmtId="164" formatCode="General"/>
    <numFmt numFmtId="165" formatCode="#,##0"/>
    <numFmt numFmtId="166" formatCode="0.00"/>
    <numFmt numFmtId="167" formatCode="0.000"/>
    <numFmt numFmtId="168" formatCode="0.0"/>
    <numFmt numFmtId="169" formatCode="0"/>
  </numFmts>
  <fonts count="13">
    <font>
      <sz val="11"/>
      <color theme="1"/>
      <name val="Calibri"/>
      <family val="2"/>
      <charset val="1"/>
    </font>
    <font>
      <sz val="10"/>
      <name val="Arial"/>
      <family val="0"/>
    </font>
    <font>
      <sz val="10"/>
      <name val="Arial"/>
      <family val="0"/>
    </font>
    <font>
      <sz val="10"/>
      <name val="Arial"/>
      <family val="0"/>
    </font>
    <font>
      <b val="true"/>
      <sz val="14"/>
      <color rgb="FF8A6410"/>
      <name val="Arial"/>
      <family val="0"/>
      <charset val="1"/>
    </font>
    <font>
      <sz val="9"/>
      <color rgb="FF595959"/>
      <name val="Arial"/>
      <family val="0"/>
      <charset val="1"/>
    </font>
    <font>
      <sz val="11"/>
      <name val="Cambria"/>
      <family val="0"/>
      <charset val="1"/>
    </font>
    <font>
      <b val="true"/>
      <sz val="10"/>
      <name val="Arial"/>
      <family val="0"/>
      <charset val="1"/>
    </font>
    <font>
      <sz val="10"/>
      <name val="Arial"/>
      <family val="0"/>
      <charset val="1"/>
    </font>
    <font>
      <sz val="10"/>
      <color rgb="FF595959"/>
      <name val="Arial"/>
      <family val="0"/>
      <charset val="1"/>
    </font>
    <font>
      <b val="true"/>
      <sz val="13"/>
      <color rgb="FF8A6410"/>
      <name val="Arial"/>
      <family val="0"/>
      <charset val="1"/>
    </font>
    <font>
      <sz val="10"/>
      <color rgb="FF0000FF"/>
      <name val="Arial"/>
      <family val="0"/>
      <charset val="1"/>
    </font>
    <font>
      <i val="true"/>
      <sz val="9"/>
      <color rgb="FF595959"/>
      <name val="Arial"/>
      <family val="0"/>
      <charset val="1"/>
    </font>
  </fonts>
  <fills count="4">
    <fill>
      <patternFill patternType="none"/>
    </fill>
    <fill>
      <patternFill patternType="gray125"/>
    </fill>
    <fill>
      <patternFill patternType="solid">
        <fgColor rgb="FFF7EFDD"/>
        <bgColor rgb="FFFFF9E6"/>
      </patternFill>
    </fill>
    <fill>
      <patternFill patternType="solid">
        <fgColor rgb="FFFFF9E6"/>
        <bgColor rgb="FFF7EFD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5" fontId="11" fillId="3" borderId="1" xfId="0" applyFont="true" applyBorder="tru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general" vertical="bottom" textRotation="0" wrapText="false" indent="0" shrinkToFit="false"/>
      <protection locked="true" hidden="false"/>
    </xf>
    <xf numFmtId="166" fontId="8" fillId="0"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7" fontId="8" fillId="0" borderId="1" xfId="0" applyFont="true" applyBorder="true" applyAlignment="true" applyProtection="false">
      <alignment horizontal="general" vertical="bottom" textRotation="0" wrapText="false" indent="0" shrinkToFit="false"/>
      <protection locked="true" hidden="false"/>
    </xf>
    <xf numFmtId="168" fontId="8" fillId="0" borderId="1" xfId="0" applyFont="true" applyBorder="tru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9" fontId="11" fillId="3" borderId="1" xfId="0" applyFont="true" applyBorder="true" applyAlignment="true" applyProtection="false">
      <alignment horizontal="general" vertical="bottom" textRotation="0" wrapText="false" indent="0" shrinkToFit="false"/>
      <protection locked="true" hidden="false"/>
    </xf>
    <xf numFmtId="168" fontId="11" fillId="3" borderId="1" xfId="0" applyFont="true" applyBorder="true" applyAlignment="true" applyProtection="false">
      <alignment horizontal="general" vertical="bottom" textRotation="0" wrapText="false" indent="0" shrinkToFit="false"/>
      <protection locked="true" hidden="false"/>
    </xf>
    <xf numFmtId="166" fontId="11" fillId="3" borderId="1" xfId="0" applyFont="true" applyBorder="true" applyAlignment="tru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general" vertical="bottom" textRotation="0" wrapText="false" indent="0" shrinkToFit="false"/>
      <protection locked="true" hidden="false"/>
    </xf>
    <xf numFmtId="168" fontId="7" fillId="0"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9E6"/>
      <rgbColor rgb="FFFF0000"/>
      <rgbColor rgb="FF00FF00"/>
      <rgbColor rgb="FF0000FF"/>
      <rgbColor rgb="FFFFFF00"/>
      <rgbColor rgb="FFFF00FF"/>
      <rgbColor rgb="FF00FFFF"/>
      <rgbColor rgb="FF800000"/>
      <rgbColor rgb="FF008000"/>
      <rgbColor rgb="FF000080"/>
      <rgbColor rgb="FF8A6410"/>
      <rgbColor rgb="FF800080"/>
      <rgbColor rgb="FF008080"/>
      <rgbColor rgb="FFBFBFBF"/>
      <rgbColor rgb="FF808080"/>
      <rgbColor rgb="FF9999FF"/>
      <rgbColor rgb="FF993366"/>
      <rgbColor rgb="FFF7EFDD"/>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0" width="72"/>
    <col collapsed="false" customWidth="true" hidden="false" outlineLevel="0" max="3" min="3" style="0" width="40"/>
  </cols>
  <sheetData>
    <row r="1" customFormat="false" ht="15.75" hidden="false" customHeight="true" outlineLevel="0" collapsed="false">
      <c r="A1" s="2" t="s">
        <v>0</v>
      </c>
    </row>
    <row r="2" customFormat="false" ht="30" hidden="false" customHeight="true" outlineLevel="0" collapsed="false">
      <c r="A2" s="3" t="s">
        <v>1</v>
      </c>
      <c r="B2" s="3"/>
      <c r="C2" s="3"/>
    </row>
    <row r="3" customFormat="false" ht="15" hidden="false" customHeight="true" outlineLevel="0" collapsed="false">
      <c r="A3" s="4"/>
    </row>
    <row r="4" customFormat="false" ht="15" hidden="false" customHeight="true" outlineLevel="0" collapsed="false">
      <c r="A4" s="5" t="s">
        <v>2</v>
      </c>
      <c r="B4" s="5" t="s">
        <v>3</v>
      </c>
      <c r="C4" s="5" t="s">
        <v>4</v>
      </c>
    </row>
    <row r="5" customFormat="false" ht="30" hidden="false" customHeight="true" outlineLevel="0" collapsed="false">
      <c r="A5" s="6" t="s">
        <v>5</v>
      </c>
      <c r="B5" s="7" t="s">
        <v>6</v>
      </c>
      <c r="C5" s="7" t="s">
        <v>7</v>
      </c>
    </row>
    <row r="6" customFormat="false" ht="15" hidden="false" customHeight="true" outlineLevel="0" collapsed="false">
      <c r="A6" s="6" t="s">
        <v>8</v>
      </c>
      <c r="B6" s="7" t="s">
        <v>9</v>
      </c>
      <c r="C6" s="7" t="s">
        <v>10</v>
      </c>
    </row>
    <row r="7" customFormat="false" ht="15" hidden="false" customHeight="true" outlineLevel="0" collapsed="false">
      <c r="A7" s="6" t="s">
        <v>11</v>
      </c>
      <c r="B7" s="7" t="s">
        <v>12</v>
      </c>
      <c r="C7" s="7" t="s">
        <v>13</v>
      </c>
    </row>
    <row r="8" customFormat="false" ht="30" hidden="false" customHeight="true" outlineLevel="0" collapsed="false">
      <c r="A8" s="6" t="s">
        <v>14</v>
      </c>
      <c r="B8" s="7" t="s">
        <v>15</v>
      </c>
      <c r="C8" s="7" t="s">
        <v>16</v>
      </c>
    </row>
    <row r="9" customFormat="false" ht="15" hidden="false" customHeight="true" outlineLevel="0" collapsed="false">
      <c r="A9" s="4"/>
    </row>
    <row r="10" customFormat="false" ht="15" hidden="false" customHeight="true" outlineLevel="0" collapsed="false">
      <c r="A10" s="8" t="s">
        <v>17</v>
      </c>
    </row>
    <row r="11" customFormat="false" ht="30" hidden="false" customHeight="true" outlineLevel="0" collapsed="false">
      <c r="A11" s="9" t="s">
        <v>18</v>
      </c>
      <c r="B11" s="9"/>
      <c r="C11" s="9"/>
    </row>
    <row r="12" customFormat="false" ht="15" hidden="false" customHeight="true" outlineLevel="0" collapsed="false">
      <c r="A12" s="9" t="s">
        <v>19</v>
      </c>
      <c r="B12" s="9"/>
      <c r="C12" s="9"/>
    </row>
    <row r="13" customFormat="false" ht="15" hidden="false" customHeight="true" outlineLevel="0" collapsed="false">
      <c r="A13" s="4"/>
    </row>
  </sheetData>
  <mergeCells count="3">
    <mergeCell ref="A2:C2"/>
    <mergeCell ref="A11:C11"/>
    <mergeCell ref="A12:C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0"/>
    <col collapsed="false" customWidth="true" hidden="false" outlineLevel="0" max="2" min="2" style="1" width="13"/>
    <col collapsed="false" customWidth="true" hidden="false" outlineLevel="0" max="3" min="3" style="1" width="15"/>
    <col collapsed="false" customWidth="true" hidden="false" outlineLevel="0" max="4" min="4" style="1" width="12"/>
    <col collapsed="false" customWidth="true" hidden="false" outlineLevel="0" max="6" min="5" style="1" width="11"/>
    <col collapsed="false" customWidth="true" hidden="false" outlineLevel="0" max="7" min="7" style="1" width="13"/>
  </cols>
  <sheetData>
    <row r="1" customFormat="false" ht="15.75" hidden="false" customHeight="true" outlineLevel="0" collapsed="false">
      <c r="A1" s="10" t="s">
        <v>20</v>
      </c>
    </row>
    <row r="3" customFormat="false" ht="39.75" hidden="false" customHeight="true" outlineLevel="0" collapsed="false">
      <c r="A3" s="11" t="s">
        <v>21</v>
      </c>
      <c r="B3" s="11" t="s">
        <v>22</v>
      </c>
      <c r="C3" s="11" t="s">
        <v>23</v>
      </c>
      <c r="D3" s="11" t="s">
        <v>24</v>
      </c>
      <c r="E3" s="11" t="s">
        <v>25</v>
      </c>
      <c r="F3" s="11" t="s">
        <v>26</v>
      </c>
      <c r="G3" s="11" t="s">
        <v>27</v>
      </c>
    </row>
    <row r="4" customFormat="false" ht="15" hidden="false" customHeight="true" outlineLevel="0" collapsed="false">
      <c r="A4" s="12" t="s">
        <v>28</v>
      </c>
      <c r="B4" s="13" t="n">
        <v>224</v>
      </c>
      <c r="C4" s="13" t="n">
        <v>14</v>
      </c>
      <c r="D4" s="13" t="n">
        <v>1</v>
      </c>
      <c r="E4" s="14" t="n">
        <f aca="false">INT(B4/C4)</f>
        <v>16</v>
      </c>
      <c r="F4" s="14" t="n">
        <f aca="false">E4^2</f>
        <v>256</v>
      </c>
      <c r="G4" s="15" t="n">
        <f aca="false">F4/D4^2</f>
        <v>256</v>
      </c>
    </row>
    <row r="5" customFormat="false" ht="15" hidden="false" customHeight="true" outlineLevel="0" collapsed="false">
      <c r="A5" s="12" t="s">
        <v>29</v>
      </c>
      <c r="B5" s="13" t="n">
        <v>336</v>
      </c>
      <c r="C5" s="13" t="n">
        <v>14</v>
      </c>
      <c r="D5" s="13" t="n">
        <v>1</v>
      </c>
      <c r="E5" s="14" t="n">
        <f aca="false">INT(B5/C5)</f>
        <v>24</v>
      </c>
      <c r="F5" s="14" t="n">
        <f aca="false">E5^2</f>
        <v>576</v>
      </c>
      <c r="G5" s="15" t="n">
        <f aca="false">F5/D5^2</f>
        <v>576</v>
      </c>
    </row>
    <row r="6" customFormat="false" ht="15" hidden="false" customHeight="true" outlineLevel="0" collapsed="false">
      <c r="A6" s="12" t="s">
        <v>30</v>
      </c>
      <c r="B6" s="13" t="n">
        <v>896</v>
      </c>
      <c r="C6" s="13" t="n">
        <v>14</v>
      </c>
      <c r="D6" s="13" t="n">
        <v>4</v>
      </c>
      <c r="E6" s="14" t="n">
        <f aca="false">INT(B6/C6)</f>
        <v>64</v>
      </c>
      <c r="F6" s="14" t="n">
        <f aca="false">E6^2</f>
        <v>4096</v>
      </c>
      <c r="G6" s="15" t="n">
        <f aca="false">F6/D6^2</f>
        <v>256</v>
      </c>
    </row>
    <row r="7" customFormat="false" ht="15" hidden="false" customHeight="true" outlineLevel="0" collapsed="false">
      <c r="A7" s="12" t="s">
        <v>31</v>
      </c>
      <c r="B7" s="14" t="n">
        <f aca="false">C4^2*3</f>
        <v>588</v>
      </c>
    </row>
    <row r="8" customFormat="false" ht="15" hidden="false" customHeight="true" outlineLevel="0" collapsed="false">
      <c r="A8" s="12" t="s">
        <v>32</v>
      </c>
      <c r="B8" s="16" t="n">
        <f aca="false">B5/B4</f>
        <v>1.5</v>
      </c>
    </row>
    <row r="9" customFormat="false" ht="15" hidden="false" customHeight="true" outlineLevel="0" collapsed="false">
      <c r="A9" s="12" t="s">
        <v>33</v>
      </c>
      <c r="B9" s="16" t="n">
        <f aca="false">F5/F4</f>
        <v>2.25</v>
      </c>
    </row>
    <row r="11" customFormat="false" ht="39.75" hidden="false" customHeight="true" outlineLevel="0" collapsed="false">
      <c r="A11" s="11" t="s">
        <v>34</v>
      </c>
      <c r="B11" s="11" t="s">
        <v>35</v>
      </c>
      <c r="C11" s="11" t="s">
        <v>36</v>
      </c>
    </row>
    <row r="12" customFormat="false" ht="15" hidden="false" customHeight="true" outlineLevel="0" collapsed="false">
      <c r="A12" s="12" t="s">
        <v>37</v>
      </c>
      <c r="B12" s="13" t="n">
        <v>1024</v>
      </c>
      <c r="C12" s="13" t="n">
        <v>1240</v>
      </c>
    </row>
    <row r="13" customFormat="false" ht="15" hidden="false" customHeight="true" outlineLevel="0" collapsed="false">
      <c r="A13" s="12" t="s">
        <v>38</v>
      </c>
      <c r="B13" s="13" t="n">
        <v>768</v>
      </c>
      <c r="C13" s="13" t="n">
        <v>1754</v>
      </c>
    </row>
    <row r="14" customFormat="false" ht="15" hidden="false" customHeight="true" outlineLevel="0" collapsed="false">
      <c r="A14" s="12" t="s">
        <v>23</v>
      </c>
      <c r="B14" s="13" t="n">
        <v>14</v>
      </c>
      <c r="C14" s="13" t="n">
        <v>14</v>
      </c>
    </row>
    <row r="15" customFormat="false" ht="15" hidden="false" customHeight="true" outlineLevel="0" collapsed="false">
      <c r="A15" s="12" t="s">
        <v>39</v>
      </c>
      <c r="B15" s="13" t="n">
        <v>2</v>
      </c>
      <c r="C15" s="13" t="n">
        <v>2</v>
      </c>
    </row>
    <row r="16" customFormat="false" ht="15" hidden="false" customHeight="true" outlineLevel="0" collapsed="false">
      <c r="A16" s="12" t="s">
        <v>40</v>
      </c>
      <c r="B16" s="13" t="n">
        <v>4</v>
      </c>
      <c r="C16" s="13" t="n">
        <v>4</v>
      </c>
    </row>
    <row r="17" customFormat="false" ht="15" hidden="false" customHeight="true" outlineLevel="0" collapsed="false">
      <c r="A17" s="12" t="s">
        <v>41</v>
      </c>
      <c r="B17" s="13" t="n">
        <v>16384</v>
      </c>
      <c r="C17" s="13" t="n">
        <v>16384</v>
      </c>
    </row>
    <row r="18" customFormat="false" ht="15" hidden="false" customHeight="true" outlineLevel="0" collapsed="false">
      <c r="A18" s="12" t="s">
        <v>42</v>
      </c>
      <c r="B18" s="14" t="n">
        <f aca="false">B14*B15</f>
        <v>28</v>
      </c>
      <c r="C18" s="14" t="n">
        <f aca="false">C14*C15</f>
        <v>28</v>
      </c>
    </row>
    <row r="19" customFormat="false" ht="15" hidden="false" customHeight="true" outlineLevel="0" collapsed="false">
      <c r="A19" s="12" t="s">
        <v>43</v>
      </c>
      <c r="B19" s="14" t="n">
        <f aca="false">MAX(B18,ROUND(B12/B18,0)*B18)</f>
        <v>1036</v>
      </c>
      <c r="C19" s="14" t="n">
        <f aca="false">MAX(C18,ROUND(C12/C18,0)*C18)</f>
        <v>1232</v>
      </c>
    </row>
    <row r="20" customFormat="false" ht="15" hidden="false" customHeight="true" outlineLevel="0" collapsed="false">
      <c r="A20" s="12" t="s">
        <v>44</v>
      </c>
      <c r="B20" s="14" t="n">
        <f aca="false">MAX(B18,ROUND(B13/B18,0)*B18)</f>
        <v>756</v>
      </c>
      <c r="C20" s="14" t="n">
        <f aca="false">MAX(C18,ROUND(C13/C18,0)*C18)</f>
        <v>1764</v>
      </c>
    </row>
    <row r="21" customFormat="false" ht="15" hidden="false" customHeight="true" outlineLevel="0" collapsed="false">
      <c r="A21" s="12" t="s">
        <v>45</v>
      </c>
      <c r="B21" s="14" t="n">
        <f aca="false">IF(B19*B20&gt;B17*B18^2,MAX(B18,FLOOR(B12/SQRT(B12*B13/(B17*B18^2))/B18,1)*B18),IF(B19*B20&lt;B16*B18^2,CEILING(B12*SQRT(B16*B18^2/(B12*B13))/B18,1)*B18,B19))</f>
        <v>1036</v>
      </c>
      <c r="C21" s="14" t="n">
        <f aca="false">IF(C19*C20&gt;C17*C18^2,MAX(C18,FLOOR(C12/SQRT(C12*C13/(C17*C18^2))/C18,1)*C18),IF(C19*C20&lt;C16*C18^2,CEILING(C12*SQRT(C16*C18^2/(C12*C13))/C18,1)*C18,C19))</f>
        <v>1232</v>
      </c>
    </row>
    <row r="22" customFormat="false" ht="15" hidden="false" customHeight="true" outlineLevel="0" collapsed="false">
      <c r="A22" s="12" t="s">
        <v>46</v>
      </c>
      <c r="B22" s="14" t="n">
        <f aca="false">IF(B19*B20&gt;B17*B18^2,MAX(B18,FLOOR(B13/SQRT(B12*B13/(B17*B18^2))/B18,1)*B18),IF(B19*B20&lt;B16*B18^2,CEILING(B13*SQRT(B16*B18^2/(B12*B13))/B18,1)*B18,B20))</f>
        <v>756</v>
      </c>
      <c r="C22" s="14" t="n">
        <f aca="false">IF(C19*C20&gt;C17*C18^2,MAX(C18,FLOOR(C13/SQRT(C12*C13/(C17*C18^2))/C18,1)*C18),IF(C19*C20&lt;C16*C18^2,CEILING(C13*SQRT(C16*C18^2/(C12*C13))/C18,1)*C18,C20))</f>
        <v>1764</v>
      </c>
    </row>
    <row r="23" customFormat="false" ht="15" hidden="false" customHeight="true" outlineLevel="0" collapsed="false">
      <c r="A23" s="12" t="s">
        <v>47</v>
      </c>
      <c r="B23" s="14" t="n">
        <f aca="false">B21/B14</f>
        <v>74</v>
      </c>
      <c r="C23" s="14" t="n">
        <f aca="false">C21/C14</f>
        <v>88</v>
      </c>
    </row>
    <row r="24" customFormat="false" ht="15" hidden="false" customHeight="true" outlineLevel="0" collapsed="false">
      <c r="A24" s="12" t="s">
        <v>48</v>
      </c>
      <c r="B24" s="14" t="n">
        <f aca="false">B22/B14</f>
        <v>54</v>
      </c>
      <c r="C24" s="14" t="n">
        <f aca="false">C22/C14</f>
        <v>126</v>
      </c>
    </row>
    <row r="25" customFormat="false" ht="15" hidden="false" customHeight="true" outlineLevel="0" collapsed="false">
      <c r="A25" s="12" t="s">
        <v>26</v>
      </c>
      <c r="B25" s="14" t="n">
        <f aca="false">B23*B24</f>
        <v>3996</v>
      </c>
      <c r="C25" s="14" t="n">
        <f aca="false">C23*C24</f>
        <v>11088</v>
      </c>
    </row>
    <row r="26" customFormat="false" ht="15" hidden="false" customHeight="true" outlineLevel="0" collapsed="false">
      <c r="A26" s="17" t="s">
        <v>49</v>
      </c>
      <c r="B26" s="15" t="n">
        <f aca="false">B25/B15^2</f>
        <v>999</v>
      </c>
      <c r="C26" s="15" t="n">
        <f aca="false">C25/C15^2</f>
        <v>2772</v>
      </c>
    </row>
    <row r="28" customFormat="false" ht="39.75" hidden="false" customHeight="true" outlineLevel="0" collapsed="false">
      <c r="A28" s="11" t="s">
        <v>50</v>
      </c>
      <c r="B28" s="11" t="s">
        <v>51</v>
      </c>
      <c r="C28" s="11" t="s">
        <v>52</v>
      </c>
    </row>
    <row r="29" customFormat="false" ht="15" hidden="false" customHeight="true" outlineLevel="0" collapsed="false">
      <c r="A29" s="12" t="s">
        <v>53</v>
      </c>
      <c r="B29" s="13" t="n">
        <v>1568</v>
      </c>
      <c r="C29" s="13" t="n">
        <v>2576</v>
      </c>
    </row>
    <row r="30" customFormat="false" ht="15" hidden="false" customHeight="true" outlineLevel="0" collapsed="false">
      <c r="A30" s="12" t="s">
        <v>54</v>
      </c>
      <c r="B30" s="13" t="n">
        <v>1568</v>
      </c>
      <c r="C30" s="13" t="n">
        <v>4784</v>
      </c>
    </row>
    <row r="31" customFormat="false" ht="15" hidden="false" customHeight="true" outlineLevel="0" collapsed="false">
      <c r="A31" s="12" t="s">
        <v>55</v>
      </c>
      <c r="B31" s="13" t="n">
        <v>28</v>
      </c>
      <c r="C31" s="13" t="n">
        <v>28</v>
      </c>
    </row>
    <row r="32" customFormat="false" ht="15" hidden="false" customHeight="true" outlineLevel="0" collapsed="false">
      <c r="A32" s="12" t="s">
        <v>56</v>
      </c>
      <c r="B32" s="18" t="n">
        <f aca="false">MIN(1,B$29/MAX($B$12,$B$13))</f>
        <v>1</v>
      </c>
      <c r="C32" s="18" t="n">
        <f aca="false">MIN(1,C$29/MAX($B$12,$B$13))</f>
        <v>1</v>
      </c>
    </row>
    <row r="33" customFormat="false" ht="15" hidden="false" customHeight="true" outlineLevel="0" collapsed="false">
      <c r="A33" s="12" t="s">
        <v>57</v>
      </c>
      <c r="B33" s="14" t="n">
        <f aca="false">CEILING(ROUND($B$12*B32/B$31,6),1)*CEILING(ROUND($B$13*B32/B$31,6),1)</f>
        <v>1036</v>
      </c>
      <c r="C33" s="14" t="n">
        <f aca="false">CEILING(ROUND($B$12*C32/C$31,6),1)*CEILING(ROUND($B$13*C32/C$31,6),1)</f>
        <v>1036</v>
      </c>
    </row>
    <row r="34" customFormat="false" ht="15" hidden="false" customHeight="true" outlineLevel="0" collapsed="false">
      <c r="A34" s="17" t="s">
        <v>58</v>
      </c>
      <c r="B34" s="15" t="n">
        <f aca="false">IF(B33&lt;=B$30,B33,SUMPRODUCT(MAX((B$31*ROW($A$1:$A$400)/$B$12&lt;=B32+0.000000001)*(ROW($A$1:$A$400)*CEILING(ROUND(ROW($A$1:$A$400)*$B$13/$B$12,6),1)&lt;=B$30)*ROW($A$1:$A$400)*CEILING(ROUND(ROW($A$1:$A$400)*$B$13/$B$12,6),1),(B$31*ROW($A$1:$A$400)/$B$13&lt;=B32+0.000000001)*(ROW($A$1:$A$400)*CEILING(ROUND(ROW($A$1:$A$400)*$B$12/$B$13,6),1)&lt;=B$30)*ROW($A$1:$A$400)*CEILING(ROUND(ROW($A$1:$A$400)*$B$12/$B$13,6),1))))</f>
        <v>1036</v>
      </c>
      <c r="C34" s="15" t="n">
        <f aca="false">IF(C33&lt;=C$30,C33,SUMPRODUCT(MAX((C$31*ROW($A$1:$A$400)/$B$12&lt;=C32+0.000000001)*(ROW($A$1:$A$400)*CEILING(ROUND(ROW($A$1:$A$400)*$B$13/$B$12,6),1)&lt;=C$30)*ROW($A$1:$A$400)*CEILING(ROUND(ROW($A$1:$A$400)*$B$13/$B$12,6),1),(C$31*ROW($A$1:$A$400)/$B$13&lt;=C32+0.000000001)*(ROW($A$1:$A$400)*CEILING(ROUND(ROW($A$1:$A$400)*$B$12/$B$13,6),1)&lt;=C$30)*ROW($A$1:$A$400)*CEILING(ROUND(ROW($A$1:$A$400)*$B$12/$B$13,6),1))))</f>
        <v>1036</v>
      </c>
    </row>
    <row r="35" customFormat="false" ht="15" hidden="false" customHeight="true" outlineLevel="0" collapsed="false">
      <c r="A35" s="12" t="s">
        <v>59</v>
      </c>
      <c r="B35" s="18" t="n">
        <f aca="false">MIN(1,B$29/MAX($C$12,$C$13))</f>
        <v>0.893956670467503</v>
      </c>
      <c r="C35" s="18" t="n">
        <f aca="false">MIN(1,C$29/MAX($C$12,$C$13))</f>
        <v>1</v>
      </c>
    </row>
    <row r="36" customFormat="false" ht="15" hidden="false" customHeight="true" outlineLevel="0" collapsed="false">
      <c r="A36" s="12" t="s">
        <v>60</v>
      </c>
      <c r="B36" s="14" t="n">
        <f aca="false">CEILING(ROUND($C$12*B35/B$31,6),1)*CEILING(ROUND($C$13*B35/B$31,6),1)</f>
        <v>2240</v>
      </c>
      <c r="C36" s="14" t="n">
        <f aca="false">CEILING(ROUND($C$12*C35/C$31,6),1)*CEILING(ROUND($C$13*C35/C$31,6),1)</f>
        <v>2835</v>
      </c>
    </row>
    <row r="37" customFormat="false" ht="15" hidden="false" customHeight="true" outlineLevel="0" collapsed="false">
      <c r="A37" s="17" t="s">
        <v>61</v>
      </c>
      <c r="B37" s="15" t="n">
        <f aca="false">IF(B36&lt;=B$30,B36,SUMPRODUCT(MAX((B$31*ROW($A$1:$A$400)/$C$12&lt;=B35+0.000000001)*(ROW($A$1:$A$400)*CEILING(ROUND(ROW($A$1:$A$400)*$C$13/$C$12,6),1)&lt;=B$30)*ROW($A$1:$A$400)*CEILING(ROUND(ROW($A$1:$A$400)*$C$13/$C$12,6),1),(B$31*ROW($A$1:$A$400)/$C$13&lt;=B35+0.000000001)*(ROW($A$1:$A$400)*CEILING(ROUND(ROW($A$1:$A$400)*$C$12/$C$13,6),1)&lt;=B$30)*ROW($A$1:$A$400)*CEILING(ROUND(ROW($A$1:$A$400)*$C$12/$C$13,6),1))))</f>
        <v>1551</v>
      </c>
      <c r="C37" s="15" t="n">
        <f aca="false">IF(C36&lt;=C$30,C36,SUMPRODUCT(MAX((C$31*ROW($A$1:$A$400)/$C$12&lt;=C35+0.000000001)*(ROW($A$1:$A$400)*CEILING(ROUND(ROW($A$1:$A$400)*$C$13/$C$12,6),1)&lt;=C$30)*ROW($A$1:$A$400)*CEILING(ROUND(ROW($A$1:$A$400)*$C$13/$C$12,6),1),(C$31*ROW($A$1:$A$400)/$C$13&lt;=C35+0.000000001)*(ROW($A$1:$A$400)*CEILING(ROUND(ROW($A$1:$A$400)*$C$12/$C$13,6),1)&lt;=C$30)*ROW($A$1:$A$400)*CEILING(ROUND(ROW($A$1:$A$400)*$C$12/$C$13,6),1))))</f>
        <v>2835</v>
      </c>
    </row>
    <row r="39" customFormat="false" ht="39.75" hidden="false" customHeight="true" outlineLevel="0" collapsed="false">
      <c r="A39" s="11" t="s">
        <v>62</v>
      </c>
      <c r="B39" s="11" t="s">
        <v>63</v>
      </c>
      <c r="C39" s="11" t="s">
        <v>64</v>
      </c>
      <c r="D39" s="11" t="s">
        <v>65</v>
      </c>
    </row>
    <row r="40" customFormat="false" ht="15" hidden="false" customHeight="true" outlineLevel="0" collapsed="false">
      <c r="A40" s="12" t="s">
        <v>66</v>
      </c>
      <c r="B40" s="15" t="n">
        <f aca="false">G6</f>
        <v>256</v>
      </c>
      <c r="C40" s="15" t="n">
        <f aca="false">G6</f>
        <v>256</v>
      </c>
      <c r="D40" s="19" t="n">
        <f aca="false">C40/$B$46</f>
        <v>0.393846153846154</v>
      </c>
    </row>
    <row r="41" customFormat="false" ht="15" hidden="false" customHeight="true" outlineLevel="0" collapsed="false">
      <c r="A41" s="12" t="s">
        <v>67</v>
      </c>
      <c r="B41" s="15" t="n">
        <f aca="false">G5</f>
        <v>576</v>
      </c>
      <c r="C41" s="15" t="n">
        <f aca="false">G5</f>
        <v>576</v>
      </c>
      <c r="D41" s="19" t="n">
        <f aca="false">C41/$B$46</f>
        <v>0.886153846153846</v>
      </c>
    </row>
    <row r="42" customFormat="false" ht="15" hidden="false" customHeight="true" outlineLevel="0" collapsed="false">
      <c r="A42" s="12" t="s">
        <v>68</v>
      </c>
      <c r="B42" s="15" t="n">
        <f aca="false">B26</f>
        <v>999</v>
      </c>
      <c r="C42" s="15" t="n">
        <f aca="false">C26</f>
        <v>2772</v>
      </c>
      <c r="D42" s="19" t="n">
        <f aca="false">C42/$B$46</f>
        <v>4.26461538461539</v>
      </c>
    </row>
    <row r="43" customFormat="false" ht="15" hidden="false" customHeight="true" outlineLevel="0" collapsed="false">
      <c r="A43" s="12" t="s">
        <v>69</v>
      </c>
      <c r="B43" s="15" t="n">
        <f aca="false">B34</f>
        <v>1036</v>
      </c>
      <c r="C43" s="15" t="n">
        <f aca="false">B37</f>
        <v>1551</v>
      </c>
      <c r="D43" s="19" t="n">
        <f aca="false">C43/$B$46</f>
        <v>2.38615384615385</v>
      </c>
    </row>
    <row r="44" customFormat="false" ht="15" hidden="false" customHeight="true" outlineLevel="0" collapsed="false">
      <c r="A44" s="12" t="s">
        <v>70</v>
      </c>
      <c r="B44" s="15" t="n">
        <f aca="false">C34</f>
        <v>1036</v>
      </c>
      <c r="C44" s="15" t="n">
        <f aca="false">C37</f>
        <v>2835</v>
      </c>
      <c r="D44" s="19" t="n">
        <f aca="false">C44/$B$46</f>
        <v>4.36153846153846</v>
      </c>
    </row>
    <row r="46" customFormat="false" ht="15" hidden="false" customHeight="true" outlineLevel="0" collapsed="false">
      <c r="A46" s="12" t="s">
        <v>71</v>
      </c>
      <c r="B46" s="13" t="n">
        <v>650</v>
      </c>
    </row>
    <row r="48" customFormat="false" ht="15" hidden="false" customHeight="true" outlineLevel="0" collapsed="false">
      <c r="A48" s="20" t="s">
        <v>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2"/>
    <col collapsed="false" customWidth="true" hidden="false" outlineLevel="0" max="2" min="2" style="1" width="14"/>
  </cols>
  <sheetData>
    <row r="1" customFormat="false" ht="15.75" hidden="false" customHeight="true" outlineLevel="0" collapsed="false">
      <c r="A1" s="10" t="s">
        <v>73</v>
      </c>
    </row>
    <row r="3" customFormat="false" ht="15" hidden="false" customHeight="true" outlineLevel="0" collapsed="false">
      <c r="A3" s="12" t="s">
        <v>74</v>
      </c>
      <c r="B3" s="13" t="n">
        <v>1000</v>
      </c>
    </row>
    <row r="4" customFormat="false" ht="15" hidden="false" customHeight="true" outlineLevel="0" collapsed="false">
      <c r="A4" s="12" t="s">
        <v>75</v>
      </c>
      <c r="B4" s="13" t="n">
        <v>1240</v>
      </c>
    </row>
    <row r="5" customFormat="false" ht="15" hidden="false" customHeight="true" outlineLevel="0" collapsed="false">
      <c r="A5" s="12" t="s">
        <v>76</v>
      </c>
      <c r="B5" s="13" t="n">
        <v>1754</v>
      </c>
    </row>
    <row r="6" customFormat="false" ht="15" hidden="false" customHeight="true" outlineLevel="0" collapsed="false">
      <c r="A6" s="12" t="s">
        <v>77</v>
      </c>
      <c r="B6" s="21" t="n">
        <v>14</v>
      </c>
    </row>
    <row r="7" customFormat="false" ht="15" hidden="false" customHeight="true" outlineLevel="0" collapsed="false">
      <c r="A7" s="12" t="s">
        <v>78</v>
      </c>
      <c r="B7" s="21" t="n">
        <v>2</v>
      </c>
    </row>
    <row r="8" customFormat="false" ht="15" hidden="false" customHeight="true" outlineLevel="0" collapsed="false">
      <c r="A8" s="12" t="s">
        <v>79</v>
      </c>
      <c r="B8" s="13" t="n">
        <v>650</v>
      </c>
    </row>
    <row r="9" customFormat="false" ht="15" hidden="false" customHeight="true" outlineLevel="0" collapsed="false">
      <c r="A9" s="12" t="s">
        <v>80</v>
      </c>
      <c r="B9" s="22" t="n">
        <v>14</v>
      </c>
    </row>
    <row r="10" customFormat="false" ht="15" hidden="false" customHeight="true" outlineLevel="0" collapsed="false">
      <c r="A10" s="12" t="s">
        <v>81</v>
      </c>
      <c r="B10" s="23" t="n">
        <v>0.67</v>
      </c>
    </row>
    <row r="11" customFormat="false" ht="15" hidden="false" customHeight="true" outlineLevel="0" collapsed="false">
      <c r="A11" s="12" t="s">
        <v>82</v>
      </c>
      <c r="B11" s="13" t="n">
        <v>50</v>
      </c>
    </row>
    <row r="12" customFormat="false" ht="15" hidden="false" customHeight="true" outlineLevel="0" collapsed="false">
      <c r="A12" s="12" t="s">
        <v>83</v>
      </c>
      <c r="B12" s="21" t="n">
        <v>28</v>
      </c>
    </row>
    <row r="13" customFormat="false" ht="15" hidden="false" customHeight="true" outlineLevel="0" collapsed="false">
      <c r="A13" s="12" t="s">
        <v>84</v>
      </c>
      <c r="B13" s="21" t="n">
        <v>4</v>
      </c>
    </row>
    <row r="14" customFormat="false" ht="15" hidden="false" customHeight="true" outlineLevel="0" collapsed="false">
      <c r="A14" s="12" t="s">
        <v>85</v>
      </c>
      <c r="B14" s="21" t="n">
        <v>128</v>
      </c>
    </row>
    <row r="15" customFormat="false" ht="15" hidden="false" customHeight="true" outlineLevel="0" collapsed="false">
      <c r="A15" s="12" t="s">
        <v>86</v>
      </c>
      <c r="B15" s="21" t="n">
        <v>2</v>
      </c>
    </row>
    <row r="16" customFormat="false" ht="15" hidden="false" customHeight="true" outlineLevel="0" collapsed="false">
      <c r="A16" s="12" t="s">
        <v>87</v>
      </c>
      <c r="B16" s="21" t="n">
        <v>20</v>
      </c>
    </row>
    <row r="17" customFormat="false" ht="15" hidden="false" customHeight="true" outlineLevel="0" collapsed="false">
      <c r="A17" s="12" t="s">
        <v>88</v>
      </c>
      <c r="B17" s="13" t="n">
        <v>32768</v>
      </c>
    </row>
    <row r="19" customFormat="false" ht="15" hidden="false" customHeight="true" outlineLevel="0" collapsed="false">
      <c r="A19" s="11" t="s">
        <v>89</v>
      </c>
      <c r="B19" s="11" t="s">
        <v>90</v>
      </c>
    </row>
    <row r="20" customFormat="false" ht="15" hidden="false" customHeight="true" outlineLevel="0" collapsed="false">
      <c r="A20" s="12" t="s">
        <v>91</v>
      </c>
      <c r="B20" s="15" t="n">
        <f aca="false">ROUND(B4/(B6*B7),0)*ROUND(B5/(B6*B7),0)</f>
        <v>2772</v>
      </c>
    </row>
    <row r="21" customFormat="false" ht="15" hidden="false" customHeight="true" outlineLevel="0" collapsed="false">
      <c r="A21" s="12" t="s">
        <v>92</v>
      </c>
      <c r="B21" s="15" t="n">
        <f aca="false">B20*B7^2</f>
        <v>11088</v>
      </c>
    </row>
    <row r="22" customFormat="false" ht="15" hidden="false" customHeight="true" outlineLevel="0" collapsed="false">
      <c r="A22" s="12" t="s">
        <v>93</v>
      </c>
      <c r="B22" s="24" t="n">
        <f aca="false">B3*B20/1000000</f>
        <v>2.772</v>
      </c>
    </row>
    <row r="23" customFormat="false" ht="15" hidden="false" customHeight="true" outlineLevel="0" collapsed="false">
      <c r="A23" s="12" t="s">
        <v>94</v>
      </c>
      <c r="B23" s="24" t="n">
        <f aca="false">B3*B8/1000000</f>
        <v>0.65</v>
      </c>
    </row>
    <row r="24" customFormat="false" ht="15" hidden="false" customHeight="true" outlineLevel="0" collapsed="false">
      <c r="A24" s="12" t="s">
        <v>95</v>
      </c>
      <c r="B24" s="25" t="n">
        <f aca="false">B20*B9/1000</f>
        <v>38.808</v>
      </c>
    </row>
    <row r="25" customFormat="false" ht="15" hidden="false" customHeight="true" outlineLevel="0" collapsed="false">
      <c r="A25" s="12" t="s">
        <v>96</v>
      </c>
      <c r="B25" s="25" t="n">
        <f aca="false">2*B10*1000000000*B21/1000000000000</f>
        <v>14.85792</v>
      </c>
    </row>
    <row r="26" customFormat="false" ht="15" hidden="false" customHeight="true" outlineLevel="0" collapsed="false">
      <c r="A26" s="12" t="s">
        <v>97</v>
      </c>
      <c r="B26" s="25" t="n">
        <f aca="false">B24+B25</f>
        <v>53.66592</v>
      </c>
    </row>
    <row r="27" customFormat="false" ht="15" hidden="false" customHeight="true" outlineLevel="0" collapsed="false">
      <c r="A27" s="12" t="s">
        <v>98</v>
      </c>
      <c r="B27" s="24" t="n">
        <f aca="false">B26/B11</f>
        <v>1.0733184</v>
      </c>
    </row>
    <row r="28" customFormat="false" ht="15" hidden="false" customHeight="true" outlineLevel="0" collapsed="false">
      <c r="A28" s="17" t="s">
        <v>99</v>
      </c>
      <c r="B28" s="25" t="n">
        <f aca="false">B27*B3/60</f>
        <v>17.88864</v>
      </c>
    </row>
    <row r="29" customFormat="false" ht="15" hidden="false" customHeight="true" outlineLevel="0" collapsed="false">
      <c r="A29" s="12" t="s">
        <v>100</v>
      </c>
      <c r="B29" s="15" t="n">
        <f aca="false">2*B12*B13*B14*B15</f>
        <v>57344</v>
      </c>
    </row>
    <row r="30" customFormat="false" ht="15" hidden="false" customHeight="true" outlineLevel="0" collapsed="false">
      <c r="A30" s="12" t="s">
        <v>101</v>
      </c>
      <c r="B30" s="25" t="n">
        <f aca="false">B29*B20/1000000</f>
        <v>158.957568</v>
      </c>
    </row>
    <row r="31" customFormat="false" ht="15" hidden="false" customHeight="true" outlineLevel="0" collapsed="false">
      <c r="A31" s="12" t="s">
        <v>102</v>
      </c>
      <c r="B31" s="15" t="n">
        <f aca="false">B20*B16</f>
        <v>55440</v>
      </c>
    </row>
    <row r="32" customFormat="false" ht="15" hidden="false" customHeight="true" outlineLevel="0" collapsed="false">
      <c r="A32" s="17" t="s">
        <v>103</v>
      </c>
      <c r="B32" s="24" t="n">
        <f aca="false">B30*B16/1000</f>
        <v>3.17915136</v>
      </c>
    </row>
    <row r="33" customFormat="false" ht="15" hidden="false" customHeight="true" outlineLevel="0" collapsed="false">
      <c r="A33" s="17" t="s">
        <v>104</v>
      </c>
      <c r="B33" s="15" t="n">
        <f aca="false">INT(B17/B20)</f>
        <v>11</v>
      </c>
    </row>
    <row r="35" customFormat="false" ht="15" hidden="false" customHeight="true" outlineLevel="0" collapsed="false">
      <c r="A35" s="20" t="s">
        <v>105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14"/>
  </cols>
  <sheetData>
    <row r="1" customFormat="false" ht="15.75" hidden="false" customHeight="true" outlineLevel="0" collapsed="false">
      <c r="A1" s="10" t="s">
        <v>106</v>
      </c>
    </row>
    <row r="3" customFormat="false" ht="15" hidden="false" customHeight="true" outlineLevel="0" collapsed="false">
      <c r="A3" s="12" t="s">
        <v>107</v>
      </c>
      <c r="B3" s="22" t="n">
        <v>1</v>
      </c>
    </row>
    <row r="4" customFormat="false" ht="15" hidden="false" customHeight="true" outlineLevel="0" collapsed="false">
      <c r="A4" s="12" t="s">
        <v>108</v>
      </c>
      <c r="B4" s="22" t="n">
        <v>2</v>
      </c>
    </row>
    <row r="5" customFormat="false" ht="15" hidden="false" customHeight="true" outlineLevel="0" collapsed="false">
      <c r="A5" s="12" t="s">
        <v>109</v>
      </c>
      <c r="B5" s="13" t="n">
        <v>448</v>
      </c>
    </row>
    <row r="6" customFormat="false" ht="15" hidden="false" customHeight="true" outlineLevel="0" collapsed="false">
      <c r="A6" s="12" t="s">
        <v>110</v>
      </c>
      <c r="B6" s="13" t="n">
        <v>448</v>
      </c>
    </row>
    <row r="7" customFormat="false" ht="15" hidden="false" customHeight="true" outlineLevel="0" collapsed="false">
      <c r="A7" s="12" t="s">
        <v>111</v>
      </c>
      <c r="B7" s="21" t="n">
        <v>28</v>
      </c>
    </row>
    <row r="8" customFormat="false" ht="15" hidden="false" customHeight="true" outlineLevel="0" collapsed="false">
      <c r="A8" s="12" t="s">
        <v>112</v>
      </c>
      <c r="B8" s="21" t="n">
        <v>2</v>
      </c>
    </row>
    <row r="10" customFormat="false" ht="15" hidden="false" customHeight="true" outlineLevel="0" collapsed="false">
      <c r="A10" s="12" t="s">
        <v>113</v>
      </c>
      <c r="B10" s="14" t="n">
        <f aca="false">B3*60*B4</f>
        <v>120</v>
      </c>
    </row>
    <row r="11" customFormat="false" ht="15" hidden="false" customHeight="true" outlineLevel="0" collapsed="false">
      <c r="A11" s="12" t="s">
        <v>114</v>
      </c>
      <c r="B11" s="14" t="n">
        <f aca="false">(B5/B7)*(B6/B7)</f>
        <v>256</v>
      </c>
    </row>
    <row r="12" customFormat="false" ht="15" hidden="false" customHeight="true" outlineLevel="0" collapsed="false">
      <c r="A12" s="17" t="s">
        <v>115</v>
      </c>
      <c r="B12" s="15" t="n">
        <f aca="false">B10/B8*B11</f>
        <v>15360</v>
      </c>
    </row>
    <row r="13" customFormat="false" ht="15" hidden="false" customHeight="true" outlineLevel="0" collapsed="false">
      <c r="A13" s="17" t="s">
        <v>116</v>
      </c>
      <c r="B13" s="15" t="n">
        <f aca="false">B12/B3*60</f>
        <v>921600</v>
      </c>
    </row>
    <row r="15" customFormat="false" ht="15" hidden="false" customHeight="true" outlineLevel="0" collapsed="false">
      <c r="A15" s="20" t="s">
        <v>117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14"/>
  </cols>
  <sheetData>
    <row r="1" customFormat="false" ht="15.75" hidden="false" customHeight="true" outlineLevel="0" collapsed="false">
      <c r="A1" s="10" t="s">
        <v>118</v>
      </c>
    </row>
    <row r="3" customFormat="false" ht="15" hidden="false" customHeight="true" outlineLevel="0" collapsed="false">
      <c r="A3" s="12" t="s">
        <v>107</v>
      </c>
      <c r="B3" s="22" t="n">
        <v>10</v>
      </c>
    </row>
    <row r="4" customFormat="false" ht="15" hidden="false" customHeight="true" outlineLevel="0" collapsed="false">
      <c r="A4" s="12" t="s">
        <v>119</v>
      </c>
      <c r="B4" s="21" t="n">
        <v>150</v>
      </c>
    </row>
    <row r="5" customFormat="false" ht="15" hidden="false" customHeight="true" outlineLevel="0" collapsed="false">
      <c r="A5" s="12" t="s">
        <v>120</v>
      </c>
      <c r="B5" s="23" t="n">
        <v>1.3</v>
      </c>
    </row>
    <row r="6" customFormat="false" ht="15" hidden="false" customHeight="true" outlineLevel="0" collapsed="false">
      <c r="A6" s="12" t="s">
        <v>121</v>
      </c>
      <c r="B6" s="13" t="n">
        <v>1500</v>
      </c>
    </row>
    <row r="7" customFormat="false" ht="15" hidden="false" customHeight="true" outlineLevel="0" collapsed="false">
      <c r="A7" s="12" t="s">
        <v>122</v>
      </c>
      <c r="B7" s="22" t="n">
        <v>12.5</v>
      </c>
    </row>
    <row r="8" customFormat="false" ht="15" hidden="false" customHeight="true" outlineLevel="0" collapsed="false">
      <c r="A8" s="12" t="s">
        <v>123</v>
      </c>
      <c r="B8" s="21" t="n">
        <v>8</v>
      </c>
    </row>
    <row r="9" customFormat="false" ht="15" hidden="false" customHeight="true" outlineLevel="0" collapsed="false">
      <c r="A9" s="12" t="s">
        <v>124</v>
      </c>
      <c r="B9" s="21" t="n">
        <v>2</v>
      </c>
    </row>
    <row r="10" customFormat="false" ht="15" hidden="false" customHeight="true" outlineLevel="0" collapsed="false">
      <c r="A10" s="12" t="s">
        <v>125</v>
      </c>
      <c r="B10" s="21" t="n">
        <v>32</v>
      </c>
    </row>
    <row r="12" customFormat="false" ht="15" hidden="false" customHeight="true" outlineLevel="0" collapsed="false">
      <c r="A12" s="11" t="s">
        <v>89</v>
      </c>
      <c r="B12" s="11" t="s">
        <v>90</v>
      </c>
    </row>
    <row r="13" customFormat="false" ht="15" hidden="false" customHeight="true" outlineLevel="0" collapsed="false">
      <c r="A13" s="12" t="s">
        <v>126</v>
      </c>
      <c r="B13" s="14" t="n">
        <f aca="false">B3*B4</f>
        <v>1500</v>
      </c>
    </row>
    <row r="14" customFormat="false" ht="15" hidden="false" customHeight="true" outlineLevel="0" collapsed="false">
      <c r="A14" s="17" t="s">
        <v>127</v>
      </c>
      <c r="B14" s="15" t="n">
        <f aca="false">B13*B5</f>
        <v>1950</v>
      </c>
    </row>
    <row r="15" customFormat="false" ht="15" hidden="false" customHeight="true" outlineLevel="0" collapsed="false">
      <c r="A15" s="12" t="s">
        <v>128</v>
      </c>
      <c r="B15" s="14" t="n">
        <f aca="false">B3*60/30</f>
        <v>20</v>
      </c>
    </row>
    <row r="16" customFormat="false" ht="15" hidden="false" customHeight="true" outlineLevel="0" collapsed="false">
      <c r="A16" s="17" t="s">
        <v>129</v>
      </c>
      <c r="B16" s="15" t="n">
        <f aca="false">B15*B6</f>
        <v>30000</v>
      </c>
    </row>
    <row r="17" customFormat="false" ht="15" hidden="false" customHeight="true" outlineLevel="0" collapsed="false">
      <c r="A17" s="12" t="s">
        <v>130</v>
      </c>
      <c r="B17" s="14" t="n">
        <f aca="false">B3*60*B7</f>
        <v>7500</v>
      </c>
    </row>
    <row r="18" customFormat="false" ht="15" hidden="false" customHeight="true" outlineLevel="0" collapsed="false">
      <c r="A18" s="17" t="s">
        <v>131</v>
      </c>
      <c r="B18" s="15" t="n">
        <f aca="false">B17*B8</f>
        <v>60000</v>
      </c>
    </row>
    <row r="19" customFormat="false" ht="15" hidden="false" customHeight="true" outlineLevel="0" collapsed="false">
      <c r="A19" s="12" t="s">
        <v>132</v>
      </c>
      <c r="B19" s="14" t="n">
        <f aca="false">B6/30/B9</f>
        <v>25</v>
      </c>
    </row>
    <row r="20" customFormat="false" ht="15" hidden="false" customHeight="true" outlineLevel="0" collapsed="false">
      <c r="A20" s="17" t="s">
        <v>133</v>
      </c>
      <c r="B20" s="15" t="n">
        <f aca="false">B16/B9</f>
        <v>15000</v>
      </c>
    </row>
    <row r="21" customFormat="false" ht="15" hidden="false" customHeight="true" outlineLevel="0" collapsed="false">
      <c r="A21" s="17" t="s">
        <v>134</v>
      </c>
      <c r="B21" s="15" t="n">
        <f aca="false">B3*60*B10</f>
        <v>19200</v>
      </c>
    </row>
    <row r="22" customFormat="false" ht="15" hidden="false" customHeight="true" outlineLevel="0" collapsed="false">
      <c r="A22" s="17" t="s">
        <v>135</v>
      </c>
      <c r="B22" s="15" t="n">
        <f aca="false">B17</f>
        <v>7500</v>
      </c>
    </row>
    <row r="23" customFormat="false" ht="15" hidden="false" customHeight="true" outlineLevel="0" collapsed="false">
      <c r="A23" s="12" t="s">
        <v>136</v>
      </c>
      <c r="B23" s="19" t="n">
        <f aca="false">B22/B14</f>
        <v>3.84615384615385</v>
      </c>
    </row>
    <row r="24" customFormat="false" ht="15" hidden="false" customHeight="true" outlineLevel="0" collapsed="false">
      <c r="A24" s="12" t="s">
        <v>137</v>
      </c>
      <c r="B24" s="19" t="n">
        <f aca="false">B20/B14</f>
        <v>7.69230769230769</v>
      </c>
    </row>
    <row r="25" customFormat="false" ht="15" hidden="false" customHeight="true" outlineLevel="0" collapsed="false">
      <c r="A25" s="12" t="s">
        <v>138</v>
      </c>
      <c r="B25" s="19" t="n">
        <f aca="false">B21/B14</f>
        <v>9.84615384615385</v>
      </c>
    </row>
    <row r="27" customFormat="false" ht="15" hidden="false" customHeight="true" outlineLevel="0" collapsed="false">
      <c r="A27" s="20" t="s">
        <v>139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2026-10-01T22:50:34Z</dcterms:created>
  <dc:creator>Leonhard Korowajczuk</dc:creator>
  <dc:description/>
  <dc:language>en-US</dc:language>
  <cp:lastModifiedBy>Leonhard Korowajczuk</cp:lastModifiedBy>
  <dcterms:modified xsi:type="dcterms:W3CDTF">2026-10-20T17:46:35Z</dcterms:modified>
  <cp:revision>0</cp:revision>
  <dc:subject/>
  <dc:title>Multimodal Architectures — companion workbook</dc:title>
</cp:coreProperties>
</file>

<file path=docProps/custom.xml><?xml version="1.0" encoding="utf-8"?>
<Properties xmlns="http://schemas.openxmlformats.org/officeDocument/2006/custom-properties" xmlns:vt="http://schemas.openxmlformats.org/officeDocument/2006/docPropsVTypes"/>
</file>