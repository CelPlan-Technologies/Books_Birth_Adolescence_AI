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LoRA by Hand" sheetId="2" state="visible" r:id="rId4"/>
    <sheet name="LoRA Parameters" sheetId="3" state="visible" r:id="rId5"/>
    <sheet name="Distillation" sheetId="4" state="visible" r:id="rId6"/>
    <sheet name="Task Arithmetic" sheetId="5" state="visible" r:id="rId7"/>
    <sheet name="Fine-Tune Plan" sheetId="6" state="visible" r:id="rId8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<sst xmlns="http://schemas.openxmlformats.org/spreadsheetml/2006/main" count="125" uniqueCount="121">
  <si>
    <t xml:space="preserve">Chapter 12 — Adaptation: Fine-Tuning, LoRA and Distillation</t>
  </si>
  <si>
    <t xml:space="preserve">Companion workbook of The Birth and Adolescence of Artificial Intelligence, Volume 1, by Leonhard Korowajczuk. Blue cells on a light yellow background are inputs: change them and every result recalculates.</t>
  </si>
  <si>
    <t xml:space="preserve">Sheet</t>
  </si>
  <si>
    <t xml:space="preserve">What it computes</t>
  </si>
  <si>
    <t xml:space="preserve">Book reference</t>
  </si>
  <si>
    <t xml:space="preserve">LoRA by Hand</t>
  </si>
  <si>
    <t xml:space="preserve">A rank-1 update B·A applied to an input, and the saving for a 4,096 × 4,096 matrix at rank 16.</t>
  </si>
  <si>
    <t xml:space="preserve">Worked Example 12.1 (Section 12.3.1)</t>
  </si>
  <si>
    <t xml:space="preserve">LoRA Parameters</t>
  </si>
  <si>
    <t xml:space="preserve">Trainable parameters, adapter size and training memory for full fine-tuning, LoRA and QLoRA.</t>
  </si>
  <si>
    <t xml:space="preserve">Worked Example 12.2 and Figure 12.3 (Sections 12.3.1–12.3.2)</t>
  </si>
  <si>
    <t xml:space="preserve">Distillation</t>
  </si>
  <si>
    <t xml:space="preserve">The KL distillation loss for one token and the teacher softened by a temperature.</t>
  </si>
  <si>
    <t xml:space="preserve">Worked Example 12.3 (Section 12.4)</t>
  </si>
  <si>
    <t xml:space="preserve">Task Arithmetic</t>
  </si>
  <si>
    <t xml:space="preserve">Task vectors, their merge and the TIES sign election.</t>
  </si>
  <si>
    <t xml:space="preserve">Worked Example 12.4 (Section 12.5)</t>
  </si>
  <si>
    <t xml:space="preserve">Fine-Tune Plan</t>
  </si>
  <si>
    <t xml:space="preserve">Tokens, compute, training time and memory of a corporate LoRA fine-tune.</t>
  </si>
  <si>
    <t xml:space="preserve">Worked Example 12.5 (Section 12.6)</t>
  </si>
  <si>
    <t xml:space="preserve">A Rank-1 LoRA Update (Worked Example 12.1)</t>
  </si>
  <si>
    <t xml:space="preserve">α / r</t>
  </si>
  <si>
    <t xml:space="preserve">col 1</t>
  </si>
  <si>
    <t xml:space="preserve">col 2</t>
  </si>
  <si>
    <t xml:space="preserve">col 3</t>
  </si>
  <si>
    <t xml:space="preserve">A (1 × 3)</t>
  </si>
  <si>
    <t xml:space="preserve">x</t>
  </si>
  <si>
    <t xml:space="preserve">Row</t>
  </si>
  <si>
    <t xml:space="preserve">B (3 × 1)</t>
  </si>
  <si>
    <t xml:space="preserve">ΔW = B·A col 1</t>
  </si>
  <si>
    <t xml:space="preserve">ΔW·x</t>
  </si>
  <si>
    <t xml:space="preserve">row 1</t>
  </si>
  <si>
    <t xml:space="preserve">row 2</t>
  </si>
  <si>
    <t xml:space="preserve">row 3</t>
  </si>
  <si>
    <t xml:space="preserve">Parameters: LoRA vs full</t>
  </si>
  <si>
    <t xml:space="preserve">A·x (one number)</t>
  </si>
  <si>
    <t xml:space="preserve">Larger matrix (Reading)</t>
  </si>
  <si>
    <t xml:space="preserve">d_out (rows of W)</t>
  </si>
  <si>
    <t xml:space="preserve">d_in (columns of W)</t>
  </si>
  <si>
    <t xml:space="preserve">Rank r</t>
  </si>
  <si>
    <t xml:space="preserve">LoRA: r × (d_in + d_out)</t>
  </si>
  <si>
    <t xml:space="preserve">Full: d_out × d_in</t>
  </si>
  <si>
    <t xml:space="preserve">LoRA share of full</t>
  </si>
  <si>
    <t xml:space="preserve">Rows 3–16: the 3 × 3 example of Worked Example 12.1 (W itself is not needed: the layer adds ΔW·x to W·x). Rows 19–24: its Reading, rank 16 on a 4,096 × 4,096 matrix.</t>
  </si>
  <si>
    <t xml:space="preserve">LoRA and QLoRA on Every Linear Layer (Worked Example 12.2, Figure 12.3; defaults Llama 3.1 8B)</t>
  </si>
  <si>
    <t xml:space="preserve">Model dimension d</t>
  </si>
  <si>
    <t xml:space="preserve">KV projection width (h_kv × d_k)</t>
  </si>
  <si>
    <t xml:space="preserve">Feed-forward size d_ff</t>
  </si>
  <si>
    <t xml:space="preserve">Layers L</t>
  </si>
  <si>
    <t xml:space="preserve">Total model parameters</t>
  </si>
  <si>
    <t xml:space="preserve">Bits per frozen weight, LoRA (16 = BF16)</t>
  </si>
  <si>
    <t xml:space="preserve">Sum of (in + out) over 7 matrices</t>
  </si>
  <si>
    <t xml:space="preserve">LoRA parameters per layer</t>
  </si>
  <si>
    <t xml:space="preserve">LoRA parameters, whole model</t>
  </si>
  <si>
    <t xml:space="preserve">Share of the model</t>
  </si>
  <si>
    <t xml:space="preserve">Adapter file, BF16 (MB)</t>
  </si>
  <si>
    <t xml:space="preserve">Frozen weights (GB)</t>
  </si>
  <si>
    <t xml:space="preserve">Adapter training state, 16 B/param (GB)</t>
  </si>
  <si>
    <t xml:space="preserve">Total before activations (GB)</t>
  </si>
  <si>
    <t xml:space="preserve">Full fine-tuning, 16 B/param (GB)</t>
  </si>
  <si>
    <t xml:space="preserve">QLoRA (Figure 12.3; Worked Example 12.5)</t>
  </si>
  <si>
    <t xml:space="preserve">Embedding + output-head parameters (BF16 in QLoRA)</t>
  </si>
  <si>
    <t xml:space="preserve">NF4 bits per block weight (double quantization)</t>
  </si>
  <si>
    <t xml:space="preserve">QLoRA frozen weights (GB)</t>
  </si>
  <si>
    <t xml:space="preserve">QLoRA total before activations (GB)</t>
  </si>
  <si>
    <t xml:space="preserve">QLoRA memory as a share of LoRA</t>
  </si>
  <si>
    <t xml:space="preserve">Defaults: Llama 3.1 8B, rank 16 on all seven linear layers of each block (Worked Example 12.2). NF4 with double quantization: 4 + 8/64 + 32/16,384 ≈ 4.13 bits per weight.</t>
  </si>
  <si>
    <t xml:space="preserve">Llama 3.1 70B (Figure 12.3): d 8,192, KV width 1,024, d_ff 28,672, L 80, N 70,553,706,496, embedding + head 2,101,346,304 → full 1,129 GB, LoRA 144 GB, QLoRA 43 GB.</t>
  </si>
  <si>
    <t xml:space="preserve">Distillation Loss for One Token (Worked Example 12.3)</t>
  </si>
  <si>
    <t xml:space="preserve">Temperature T</t>
  </si>
  <si>
    <t xml:space="preserve">Token</t>
  </si>
  <si>
    <t xml:space="preserve">Teacher P_T</t>
  </si>
  <si>
    <t xml:space="preserve">Student P_S</t>
  </si>
  <si>
    <t xml:space="preserve">P_T·ln(P_T/P_S)</t>
  </si>
  <si>
    <t xml:space="preserve">Teacher softened at T</t>
  </si>
  <si>
    <t xml:space="preserve">tower</t>
  </si>
  <si>
    <t xml:space="preserve">roof</t>
  </si>
  <si>
    <t xml:space="preserve">mast</t>
  </si>
  <si>
    <t xml:space="preserve">pole</t>
  </si>
  <si>
    <t xml:space="preserve">KL(P_T ‖ P_S) (nats)</t>
  </si>
  <si>
    <t xml:space="preserve">Hard-label loss −ln P_S(tower)</t>
  </si>
  <si>
    <t xml:space="preserve">Roof + mast after softening at T</t>
  </si>
  <si>
    <t xml:space="preserve">Roof + mast before softening</t>
  </si>
  <si>
    <t xml:space="preserve">Softening at temperature T raises each teacher probability to the power 1/T and renormalizes, the same as dividing the teacher's logits by T.</t>
  </si>
  <si>
    <t xml:space="preserve">Merging by Task Arithmetic and TIES (Worked Example 12.4)</t>
  </si>
  <si>
    <t xml:space="preserve">λ</t>
  </si>
  <si>
    <t xml:space="preserve">Weight</t>
  </si>
  <si>
    <t xml:space="preserve">θ0 (base)</t>
  </si>
  <si>
    <t xml:space="preserve">θA</t>
  </si>
  <si>
    <t xml:space="preserve">θB</t>
  </si>
  <si>
    <t xml:space="preserve">τA</t>
  </si>
  <si>
    <t xml:space="preserve">τB</t>
  </si>
  <si>
    <t xml:space="preserve">Merged θ0 + λ(τA + τB)</t>
  </si>
  <si>
    <t xml:space="preserve">Conflict?</t>
  </si>
  <si>
    <t xml:space="preserve">TIES: elected sign</t>
  </si>
  <si>
    <t xml:space="preserve">TIES merge θ0 + λ × (agreeing entries)</t>
  </si>
  <si>
    <t xml:space="preserve">w1</t>
  </si>
  <si>
    <t xml:space="preserve">w2</t>
  </si>
  <si>
    <t xml:space="preserve">w3</t>
  </si>
  <si>
    <t xml:space="preserve">w4</t>
  </si>
  <si>
    <t xml:space="preserve">Third weight: the plain merge keeps only −0.02 of the contracts change; TIES keeps the −0.04 that agrees with the elected sign (no trimming in this example).</t>
  </si>
  <si>
    <t xml:space="preserve">Compute, Time and Memory for a LoRA Fine-Tune (Worked Example 12.5)</t>
  </si>
  <si>
    <t xml:space="preserve">Examples</t>
  </si>
  <si>
    <t xml:space="preserve">Tokens per example</t>
  </si>
  <si>
    <t xml:space="preserve">Epochs</t>
  </si>
  <si>
    <t xml:space="preserve">Model parameters</t>
  </si>
  <si>
    <t xml:space="preserve">FLOPs per token ÷ N (4, or 6 with checkpointing)</t>
  </si>
  <si>
    <t xml:space="preserve">Box GPU effective TFLOP/s</t>
  </si>
  <si>
    <t xml:space="preserve">H200-class Rack GPU effective TFLOP/s</t>
  </si>
  <si>
    <t xml:space="preserve">RTX PRO 6000 effective TFLOP/s</t>
  </si>
  <si>
    <t xml:space="preserve">Tokens per epoch</t>
  </si>
  <si>
    <t xml:space="preserve">Training tokens</t>
  </si>
  <si>
    <t xml:space="preserve">FLOPs</t>
  </si>
  <si>
    <t xml:space="preserve">Seconds on the Box GPU</t>
  </si>
  <si>
    <t xml:space="preserve">Hours on the Box GPU</t>
  </si>
  <si>
    <t xml:space="preserve">Hours on the H200-class Rack GPU</t>
  </si>
  <si>
    <t xml:space="preserve">Hours on an RTX PRO 6000</t>
  </si>
  <si>
    <t xml:space="preserve">LoRA memory before activations (GB)</t>
  </si>
  <si>
    <t xml:space="preserve">QLoRA memory before activations (GB)</t>
  </si>
  <si>
    <t xml:space="preserve">Worked Example 12.5: Llama 3.1 8B with LoRA r = 16. 6N per token assumes activation checkpointing, which repeats the forward pass; without it, about 4N.</t>
  </si>
  <si>
    <t xml:space="preserve">150 TFLOP/s is the effective rate that Chapter 33 (Volume 2) assumes for an RTX PRO 6000. Memory rows link to the LoRA Parameters sheet (Figure 12.3).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</si>
</sst>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0"/>
    <numFmt numFmtId="167" formatCode="#,##0"/>
    <numFmt numFmtId="168" formatCode="0.00%"/>
    <numFmt numFmtId="169" formatCode="#,##0.##"/>
    <numFmt numFmtId="170" formatCode="0%"/>
    <numFmt numFmtId="171" formatCode="0.0"/>
    <numFmt numFmtId="172" formatCode="0.000"/>
    <numFmt numFmtId="173" formatCode="0.0000"/>
    <numFmt numFmtId="174" formatCode="0.00E+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A6410"/>
      <name val="Arial"/>
      <family val="0"/>
      <charset val="1"/>
    </font>
    <font>
      <sz val="9"/>
      <color rgb="FF595959"/>
      <name val="Arial"/>
      <family val="0"/>
      <charset val="1"/>
    </font>
    <font>
      <sz val="11"/>
      <name val="Cambria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8A64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EFDD"/>
        <bgColor rgb="FFFFF9E6"/>
      </patternFill>
    </fill>
    <fill>
      <patternFill patternType="solid">
        <fgColor rgb="FFFFF9E6"/>
        <bgColor rgb="FFF7EF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0"/>
      <rgbColor rgb="FF800080"/>
      <rgbColor rgb="FF008080"/>
      <rgbColor rgb="FFBFBFBF"/>
      <rgbColor rgb="FF808080"/>
      <rgbColor rgb="FF9999FF"/>
      <rgbColor rgb="FF993366"/>
      <rgbColor rgb="FFF7EF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5.7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  <c r="B4" s="5" t="s">
        <v>3</v>
      </c>
      <c r="C4" s="5" t="s">
        <v>4</v>
      </c>
    </row>
    <row r="5" customFormat="false" ht="30" hidden="false" customHeight="true" outlineLevel="0" collapsed="false">
      <c r="A5" s="6" t="s">
        <v>5</v>
      </c>
      <c r="B5" s="7" t="s">
        <v>6</v>
      </c>
      <c r="C5" s="7" t="s">
        <v>7</v>
      </c>
    </row>
    <row r="6" customFormat="false" ht="30" hidden="false" customHeight="true" outlineLevel="0" collapsed="false">
      <c r="A6" s="6" t="s">
        <v>8</v>
      </c>
      <c r="B6" s="7" t="s">
        <v>9</v>
      </c>
      <c r="C6" s="7" t="s">
        <v>10</v>
      </c>
    </row>
    <row r="7" customFormat="false" ht="30" hidden="false" customHeight="true" outlineLevel="0" collapsed="false">
      <c r="A7" s="6" t="s">
        <v>11</v>
      </c>
      <c r="B7" s="7" t="s">
        <v>12</v>
      </c>
      <c r="C7" s="7" t="s">
        <v>13</v>
      </c>
    </row>
    <row r="8" customFormat="false" ht="15" hidden="false" customHeight="true" outlineLevel="0" collapsed="false">
      <c r="A8" s="6" t="s">
        <v>14</v>
      </c>
      <c r="B8" s="7" t="s">
        <v>15</v>
      </c>
      <c r="C8" s="7" t="s">
        <v>16</v>
      </c>
    </row>
    <row r="9" customFormat="false" ht="15" hidden="false" customHeight="true" outlineLevel="0" collapsed="false">
      <c r="A9" s="6" t="s">
        <v>17</v>
      </c>
      <c r="B9" s="7" t="s">
        <v>18</v>
      </c>
      <c r="C9" s="7" t="s">
        <v>19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6" min="4" style="1" width="10"/>
  </cols>
  <sheetData>
    <row r="1" customFormat="false" ht="15.75" hidden="false" customHeight="true" outlineLevel="0" collapsed="false">
      <c r="A1" s="8" t="s">
        <v>20</v>
      </c>
    </row>
    <row r="3" customFormat="false" ht="15" hidden="false" customHeight="true" outlineLevel="0" collapsed="false">
      <c r="A3" s="9" t="s">
        <v>21</v>
      </c>
      <c r="B3" s="10" t="n">
        <v>1</v>
      </c>
    </row>
    <row r="5" customFormat="false" ht="15" hidden="false" customHeight="true" outlineLevel="0" collapsed="false">
      <c r="A5" s="11"/>
      <c r="B5" s="11" t="s">
        <v>22</v>
      </c>
      <c r="C5" s="11" t="s">
        <v>23</v>
      </c>
      <c r="D5" s="11" t="s">
        <v>24</v>
      </c>
    </row>
    <row r="6" customFormat="false" ht="15" hidden="false" customHeight="true" outlineLevel="0" collapsed="false">
      <c r="A6" s="12" t="s">
        <v>25</v>
      </c>
      <c r="B6" s="10" t="n">
        <v>1</v>
      </c>
      <c r="C6" s="10" t="n">
        <v>1</v>
      </c>
      <c r="D6" s="10" t="n">
        <v>0</v>
      </c>
    </row>
    <row r="7" customFormat="false" ht="15" hidden="false" customHeight="true" outlineLevel="0" collapsed="false">
      <c r="A7" s="12" t="s">
        <v>26</v>
      </c>
      <c r="B7" s="10" t="n">
        <v>2</v>
      </c>
      <c r="C7" s="10" t="n">
        <v>1</v>
      </c>
      <c r="D7" s="10" t="n">
        <v>3</v>
      </c>
    </row>
    <row r="9" customFormat="false" ht="15" hidden="false" customHeight="true" outlineLevel="0" collapsed="false">
      <c r="A9" s="11" t="s">
        <v>27</v>
      </c>
      <c r="B9" s="11" t="s">
        <v>28</v>
      </c>
      <c r="C9" s="11" t="s">
        <v>29</v>
      </c>
      <c r="D9" s="11" t="s">
        <v>23</v>
      </c>
      <c r="E9" s="11" t="s">
        <v>24</v>
      </c>
      <c r="F9" s="11" t="s">
        <v>30</v>
      </c>
    </row>
    <row r="10" customFormat="false" ht="15" hidden="false" customHeight="true" outlineLevel="0" collapsed="false">
      <c r="A10" s="9" t="s">
        <v>31</v>
      </c>
      <c r="B10" s="10" t="n">
        <v>0.5</v>
      </c>
      <c r="C10" s="13" t="n">
        <f aca="false">$B$3*B10*B$6</f>
        <v>0.5</v>
      </c>
      <c r="D10" s="13" t="n">
        <f aca="false">$B$3*B10*C$6</f>
        <v>0.5</v>
      </c>
      <c r="E10" s="13" t="n">
        <f aca="false">$B$3*B10*D$6</f>
        <v>0</v>
      </c>
      <c r="F10" s="14" t="n">
        <f aca="false">SUMPRODUCT(C10:E10,$B$7:$D$7)</f>
        <v>1.5</v>
      </c>
    </row>
    <row r="11" customFormat="false" ht="15" hidden="false" customHeight="true" outlineLevel="0" collapsed="false">
      <c r="A11" s="9" t="s">
        <v>32</v>
      </c>
      <c r="B11" s="10" t="n">
        <v>0</v>
      </c>
      <c r="C11" s="13" t="n">
        <f aca="false">$B$3*B11*B$6</f>
        <v>0</v>
      </c>
      <c r="D11" s="13" t="n">
        <f aca="false">$B$3*B11*C$6</f>
        <v>0</v>
      </c>
      <c r="E11" s="13" t="n">
        <f aca="false">$B$3*B11*D$6</f>
        <v>0</v>
      </c>
      <c r="F11" s="14" t="n">
        <f aca="false">SUMPRODUCT(C11:E11,$B$7:$D$7)</f>
        <v>0</v>
      </c>
    </row>
    <row r="12" customFormat="false" ht="15" hidden="false" customHeight="true" outlineLevel="0" collapsed="false">
      <c r="A12" s="9" t="s">
        <v>33</v>
      </c>
      <c r="B12" s="10" t="n">
        <v>-0.5</v>
      </c>
      <c r="C12" s="13" t="n">
        <f aca="false">$B$3*B12*B$6</f>
        <v>-0.5</v>
      </c>
      <c r="D12" s="13" t="n">
        <f aca="false">$B$3*B12*C$6</f>
        <v>-0.5</v>
      </c>
      <c r="E12" s="13" t="n">
        <f aca="false">$B$3*B12*D$6</f>
        <v>-0</v>
      </c>
      <c r="F12" s="14" t="n">
        <f aca="false">SUMPRODUCT(C12:E12,$B$7:$D$7)</f>
        <v>-1.5</v>
      </c>
    </row>
    <row r="14" customFormat="false" ht="15" hidden="false" customHeight="true" outlineLevel="0" collapsed="false">
      <c r="A14" s="9" t="s">
        <v>34</v>
      </c>
      <c r="B14" s="15" t="n">
        <f aca="false">COUNT(B6:D6)+COUNT(B10:B12)</f>
        <v>6</v>
      </c>
      <c r="C14" s="15" t="n">
        <f aca="false">COUNT(B6:D6)*COUNT(B10:B12)</f>
        <v>9</v>
      </c>
    </row>
    <row r="16" customFormat="false" ht="15" hidden="false" customHeight="true" outlineLevel="0" collapsed="false">
      <c r="A16" s="12" t="s">
        <v>35</v>
      </c>
      <c r="B16" s="14" t="n">
        <f aca="false">SUMPRODUCT(B6:D6,B7:D7)</f>
        <v>3</v>
      </c>
    </row>
    <row r="18" customFormat="false" ht="15" hidden="false" customHeight="true" outlineLevel="0" collapsed="false">
      <c r="A18" s="12" t="s">
        <v>36</v>
      </c>
    </row>
    <row r="19" customFormat="false" ht="15" hidden="false" customHeight="true" outlineLevel="0" collapsed="false">
      <c r="A19" s="9" t="s">
        <v>37</v>
      </c>
      <c r="B19" s="16" t="n">
        <v>4096</v>
      </c>
    </row>
    <row r="20" customFormat="false" ht="15" hidden="false" customHeight="true" outlineLevel="0" collapsed="false">
      <c r="A20" s="9" t="s">
        <v>38</v>
      </c>
      <c r="B20" s="16" t="n">
        <v>4096</v>
      </c>
    </row>
    <row r="21" customFormat="false" ht="15" hidden="false" customHeight="true" outlineLevel="0" collapsed="false">
      <c r="A21" s="9" t="s">
        <v>39</v>
      </c>
      <c r="B21" s="16" t="n">
        <v>16</v>
      </c>
    </row>
    <row r="22" customFormat="false" ht="15" hidden="false" customHeight="true" outlineLevel="0" collapsed="false">
      <c r="A22" s="12" t="s">
        <v>40</v>
      </c>
      <c r="B22" s="17" t="n">
        <f aca="false">B21*(B19+B20)</f>
        <v>131072</v>
      </c>
    </row>
    <row r="23" customFormat="false" ht="15" hidden="false" customHeight="true" outlineLevel="0" collapsed="false">
      <c r="A23" s="12" t="s">
        <v>41</v>
      </c>
      <c r="B23" s="17" t="n">
        <f aca="false">B19*B20</f>
        <v>16777216</v>
      </c>
    </row>
    <row r="24" customFormat="false" ht="15" hidden="false" customHeight="true" outlineLevel="0" collapsed="false">
      <c r="A24" s="12" t="s">
        <v>42</v>
      </c>
      <c r="B24" s="18" t="n">
        <f aca="false">B22/B23</f>
        <v>0.0078125</v>
      </c>
    </row>
    <row r="26" customFormat="false" ht="15" hidden="false" customHeight="true" outlineLevel="0" collapsed="false">
      <c r="A26" s="19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8"/>
  </cols>
  <sheetData>
    <row r="1" customFormat="false" ht="15.75" hidden="false" customHeight="true" outlineLevel="0" collapsed="false">
      <c r="A1" s="8" t="s">
        <v>44</v>
      </c>
    </row>
    <row r="3" customFormat="false" ht="15" hidden="false" customHeight="true" outlineLevel="0" collapsed="false">
      <c r="A3" s="9" t="s">
        <v>45</v>
      </c>
      <c r="B3" s="20" t="n">
        <v>4096</v>
      </c>
    </row>
    <row r="4" customFormat="false" ht="15" hidden="false" customHeight="true" outlineLevel="0" collapsed="false">
      <c r="A4" s="9" t="s">
        <v>46</v>
      </c>
      <c r="B4" s="20" t="n">
        <v>1024</v>
      </c>
    </row>
    <row r="5" customFormat="false" ht="15" hidden="false" customHeight="true" outlineLevel="0" collapsed="false">
      <c r="A5" s="9" t="s">
        <v>47</v>
      </c>
      <c r="B5" s="20" t="n">
        <v>14336</v>
      </c>
    </row>
    <row r="6" customFormat="false" ht="15" hidden="false" customHeight="true" outlineLevel="0" collapsed="false">
      <c r="A6" s="9" t="s">
        <v>48</v>
      </c>
      <c r="B6" s="20" t="n">
        <v>32</v>
      </c>
    </row>
    <row r="7" customFormat="false" ht="15" hidden="false" customHeight="true" outlineLevel="0" collapsed="false">
      <c r="A7" s="9" t="s">
        <v>39</v>
      </c>
      <c r="B7" s="20" t="n">
        <v>16</v>
      </c>
    </row>
    <row r="8" customFormat="false" ht="15" hidden="false" customHeight="true" outlineLevel="0" collapsed="false">
      <c r="A8" s="9" t="s">
        <v>49</v>
      </c>
      <c r="B8" s="20" t="n">
        <v>8030000000</v>
      </c>
    </row>
    <row r="9" customFormat="false" ht="15" hidden="false" customHeight="true" outlineLevel="0" collapsed="false">
      <c r="A9" s="9" t="s">
        <v>50</v>
      </c>
      <c r="B9" s="20" t="n">
        <v>16</v>
      </c>
    </row>
    <row r="11" customFormat="false" ht="15" hidden="false" customHeight="true" outlineLevel="0" collapsed="false">
      <c r="A11" s="9" t="s">
        <v>51</v>
      </c>
      <c r="B11" s="17" t="n">
        <f aca="false">2*(B3+B3)+2*(B3+B4)+3*(B3+B5)</f>
        <v>81920</v>
      </c>
    </row>
    <row r="12" customFormat="false" ht="15" hidden="false" customHeight="true" outlineLevel="0" collapsed="false">
      <c r="A12" s="9" t="s">
        <v>52</v>
      </c>
      <c r="B12" s="17" t="n">
        <f aca="false">B7*B11</f>
        <v>1310720</v>
      </c>
    </row>
    <row r="13" customFormat="false" ht="15" hidden="false" customHeight="true" outlineLevel="0" collapsed="false">
      <c r="A13" s="12" t="s">
        <v>53</v>
      </c>
      <c r="B13" s="17" t="n">
        <f aca="false">B6*B12</f>
        <v>41943040</v>
      </c>
    </row>
    <row r="14" customFormat="false" ht="15" hidden="false" customHeight="true" outlineLevel="0" collapsed="false">
      <c r="A14" s="9" t="s">
        <v>54</v>
      </c>
      <c r="B14" s="18" t="n">
        <f aca="false">B13/B8</f>
        <v>0.00522329265255293</v>
      </c>
    </row>
    <row r="15" customFormat="false" ht="15" hidden="false" customHeight="true" outlineLevel="0" collapsed="false">
      <c r="A15" s="9" t="s">
        <v>55</v>
      </c>
      <c r="B15" s="17" t="n">
        <f aca="false">B13*2/1000000</f>
        <v>83.88608</v>
      </c>
    </row>
    <row r="16" customFormat="false" ht="15" hidden="false" customHeight="true" outlineLevel="0" collapsed="false">
      <c r="A16" s="9" t="s">
        <v>56</v>
      </c>
      <c r="B16" s="14" t="n">
        <f aca="false">B8*B9/8/1000000000</f>
        <v>16.06</v>
      </c>
    </row>
    <row r="17" customFormat="false" ht="15" hidden="false" customHeight="true" outlineLevel="0" collapsed="false">
      <c r="A17" s="9" t="s">
        <v>57</v>
      </c>
      <c r="B17" s="14" t="n">
        <f aca="false">B13*16/1000000000</f>
        <v>0.67108864</v>
      </c>
    </row>
    <row r="18" customFormat="false" ht="15" hidden="false" customHeight="true" outlineLevel="0" collapsed="false">
      <c r="A18" s="12" t="s">
        <v>58</v>
      </c>
      <c r="B18" s="14" t="n">
        <f aca="false">B16+B17</f>
        <v>16.73108864</v>
      </c>
    </row>
    <row r="19" customFormat="false" ht="15" hidden="false" customHeight="true" outlineLevel="0" collapsed="false">
      <c r="A19" s="9" t="s">
        <v>59</v>
      </c>
      <c r="B19" s="17" t="n">
        <f aca="false">B8*16/1000000000</f>
        <v>128.48</v>
      </c>
    </row>
    <row r="21" customFormat="false" ht="15" hidden="false" customHeight="true" outlineLevel="0" collapsed="false">
      <c r="A21" s="12" t="s">
        <v>60</v>
      </c>
    </row>
    <row r="22" customFormat="false" ht="15" hidden="false" customHeight="true" outlineLevel="0" collapsed="false">
      <c r="A22" s="9" t="s">
        <v>61</v>
      </c>
      <c r="B22" s="20" t="n">
        <v>1050673152</v>
      </c>
    </row>
    <row r="23" customFormat="false" ht="15" hidden="false" customHeight="true" outlineLevel="0" collapsed="false">
      <c r="A23" s="9" t="s">
        <v>62</v>
      </c>
      <c r="B23" s="20" t="n">
        <v>4.127</v>
      </c>
    </row>
    <row r="24" customFormat="false" ht="15" hidden="false" customHeight="true" outlineLevel="0" collapsed="false">
      <c r="A24" s="9" t="s">
        <v>63</v>
      </c>
      <c r="B24" s="14" t="n">
        <f aca="false">((B8-B22)*B23/8+B22*2)/1000000000</f>
        <v>5.701806541712</v>
      </c>
    </row>
    <row r="25" customFormat="false" ht="15" hidden="false" customHeight="true" outlineLevel="0" collapsed="false">
      <c r="A25" s="12" t="s">
        <v>64</v>
      </c>
      <c r="B25" s="14" t="n">
        <f aca="false">B24+B17</f>
        <v>6.372895181712</v>
      </c>
    </row>
    <row r="26" customFormat="false" ht="15" hidden="false" customHeight="true" outlineLevel="0" collapsed="false">
      <c r="A26" s="12" t="s">
        <v>65</v>
      </c>
      <c r="B26" s="21" t="n">
        <f aca="false">B25/B18</f>
        <v>0.380901405690718</v>
      </c>
    </row>
    <row r="28" customFormat="false" ht="15" hidden="false" customHeight="true" outlineLevel="0" collapsed="false">
      <c r="A28" s="19" t="s">
        <v>66</v>
      </c>
    </row>
    <row r="29" customFormat="false" ht="15" hidden="false" customHeight="true" outlineLevel="0" collapsed="false">
      <c r="A29" s="19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2"/>
    <col collapsed="false" customWidth="true" hidden="false" outlineLevel="0" max="4" min="4" style="1" width="18"/>
    <col collapsed="false" customWidth="true" hidden="false" outlineLevel="0" max="5" min="5" style="1" width="20"/>
  </cols>
  <sheetData>
    <row r="1" customFormat="false" ht="15.75" hidden="false" customHeight="true" outlineLevel="0" collapsed="false">
      <c r="A1" s="8" t="s">
        <v>68</v>
      </c>
    </row>
    <row r="3" customFormat="false" ht="15" hidden="false" customHeight="true" outlineLevel="0" collapsed="false">
      <c r="A3" s="9" t="s">
        <v>69</v>
      </c>
      <c r="B3" s="22" t="n">
        <v>2</v>
      </c>
    </row>
    <row r="5" customFormat="false" ht="15" hidden="false" customHeight="true" outlineLevel="0" collapsed="false">
      <c r="A5" s="11" t="s">
        <v>70</v>
      </c>
      <c r="B5" s="11" t="s">
        <v>71</v>
      </c>
      <c r="C5" s="11" t="s">
        <v>72</v>
      </c>
      <c r="D5" s="11" t="s">
        <v>73</v>
      </c>
      <c r="E5" s="11" t="s">
        <v>74</v>
      </c>
    </row>
    <row r="6" customFormat="false" ht="15" hidden="false" customHeight="true" outlineLevel="0" collapsed="false">
      <c r="A6" s="9" t="s">
        <v>75</v>
      </c>
      <c r="B6" s="23" t="n">
        <v>0.62</v>
      </c>
      <c r="C6" s="23" t="n">
        <v>0.4</v>
      </c>
      <c r="D6" s="24" t="n">
        <f aca="false">B6*LN(B6/C6)</f>
        <v>0.271718057177316</v>
      </c>
      <c r="E6" s="25" t="n">
        <f aca="false">B6^(1/$B$3)/SUMPRODUCT($B$6:$B$9^(1/$B$3))</f>
        <v>0.430626375117122</v>
      </c>
    </row>
    <row r="7" customFormat="false" ht="15" hidden="false" customHeight="true" outlineLevel="0" collapsed="false">
      <c r="A7" s="9" t="s">
        <v>76</v>
      </c>
      <c r="B7" s="23" t="n">
        <v>0.21</v>
      </c>
      <c r="C7" s="23" t="n">
        <v>0.25</v>
      </c>
      <c r="D7" s="24" t="n">
        <f aca="false">B7*LN(B7/C7)</f>
        <v>-0.0366142113004033</v>
      </c>
      <c r="E7" s="25" t="n">
        <f aca="false">B7^(1/$B$3)/SUMPRODUCT($B$6:$B$9^(1/$B$3))</f>
        <v>0.250619251567147</v>
      </c>
    </row>
    <row r="8" customFormat="false" ht="15" hidden="false" customHeight="true" outlineLevel="0" collapsed="false">
      <c r="A8" s="9" t="s">
        <v>77</v>
      </c>
      <c r="B8" s="23" t="n">
        <v>0.09</v>
      </c>
      <c r="C8" s="23" t="n">
        <v>0.2</v>
      </c>
      <c r="D8" s="24" t="n">
        <f aca="false">B8*LN(B8/C8)</f>
        <v>-0.0718656926595995</v>
      </c>
      <c r="E8" s="25" t="n">
        <f aca="false">B8^(1/$B$3)/SUMPRODUCT($B$6:$B$9^(1/$B$3))</f>
        <v>0.164068812988519</v>
      </c>
    </row>
    <row r="9" customFormat="false" ht="15" hidden="false" customHeight="true" outlineLevel="0" collapsed="false">
      <c r="A9" s="9" t="s">
        <v>78</v>
      </c>
      <c r="B9" s="23" t="n">
        <v>0.08</v>
      </c>
      <c r="C9" s="23" t="n">
        <v>0.15</v>
      </c>
      <c r="D9" s="24" t="n">
        <f aca="false">B9*LN(B9/C9)</f>
        <v>-0.0502886927537899</v>
      </c>
      <c r="E9" s="25" t="n">
        <f aca="false">B9^(1/$B$3)/SUMPRODUCT($B$6:$B$9^(1/$B$3))</f>
        <v>0.154685560327212</v>
      </c>
    </row>
    <row r="11" customFormat="false" ht="15" hidden="false" customHeight="true" outlineLevel="0" collapsed="false">
      <c r="A11" s="12" t="s">
        <v>79</v>
      </c>
      <c r="D11" s="26" t="n">
        <f aca="false">SUM(D6:D9)</f>
        <v>0.112949460463523</v>
      </c>
    </row>
    <row r="12" customFormat="false" ht="15" hidden="false" customHeight="true" outlineLevel="0" collapsed="false">
      <c r="A12" s="12" t="s">
        <v>80</v>
      </c>
      <c r="D12" s="26" t="n">
        <f aca="false">-LN(C6)</f>
        <v>0.916290731874155</v>
      </c>
    </row>
    <row r="13" customFormat="false" ht="15" hidden="false" customHeight="true" outlineLevel="0" collapsed="false">
      <c r="A13" s="12" t="s">
        <v>81</v>
      </c>
      <c r="D13" s="26" t="n">
        <f aca="false">E7+E8</f>
        <v>0.414688064555666</v>
      </c>
    </row>
    <row r="14" customFormat="false" ht="15" hidden="false" customHeight="true" outlineLevel="0" collapsed="false">
      <c r="A14" s="12" t="s">
        <v>82</v>
      </c>
      <c r="D14" s="26" t="n">
        <f aca="false">B7+B8</f>
        <v>0.3</v>
      </c>
    </row>
    <row r="16" customFormat="false" ht="15" hidden="false" customHeight="true" outlineLevel="0" collapsed="false">
      <c r="A16" s="19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10"/>
    <col collapsed="false" customWidth="true" hidden="false" outlineLevel="0" max="7" min="7" style="1" width="26"/>
    <col collapsed="false" customWidth="true" hidden="false" outlineLevel="0" max="8" min="8" style="1" width="20"/>
    <col collapsed="false" customWidth="true" hidden="false" outlineLevel="0" max="9" min="9" style="1" width="12"/>
    <col collapsed="false" customWidth="true" hidden="false" outlineLevel="0" max="10" min="10" style="1" width="26"/>
  </cols>
  <sheetData>
    <row r="1" customFormat="false" ht="15.75" hidden="false" customHeight="true" outlineLevel="0" collapsed="false">
      <c r="A1" s="8" t="s">
        <v>84</v>
      </c>
    </row>
    <row r="3" customFormat="false" ht="15" hidden="false" customHeight="true" outlineLevel="0" collapsed="false">
      <c r="A3" s="9" t="s">
        <v>85</v>
      </c>
      <c r="B3" s="10" t="n">
        <v>1</v>
      </c>
    </row>
    <row r="5" customFormat="false" ht="30" hidden="false" customHeight="true" outlineLevel="0" collapsed="false">
      <c r="A5" s="11" t="s">
        <v>86</v>
      </c>
      <c r="B5" s="11" t="s">
        <v>87</v>
      </c>
      <c r="C5" s="11" t="s">
        <v>88</v>
      </c>
      <c r="D5" s="11" t="s">
        <v>89</v>
      </c>
      <c r="E5" s="11" t="s">
        <v>90</v>
      </c>
      <c r="F5" s="11" t="s">
        <v>91</v>
      </c>
      <c r="G5" s="11" t="s">
        <v>92</v>
      </c>
      <c r="H5" s="11" t="s">
        <v>93</v>
      </c>
      <c r="I5" s="11" t="s">
        <v>94</v>
      </c>
      <c r="J5" s="11" t="s">
        <v>95</v>
      </c>
    </row>
    <row r="6" customFormat="false" ht="15" hidden="false" customHeight="true" outlineLevel="0" collapsed="false">
      <c r="A6" s="9" t="s">
        <v>96</v>
      </c>
      <c r="B6" s="10" t="n">
        <v>0.5</v>
      </c>
      <c r="C6" s="10" t="n">
        <v>0.58</v>
      </c>
      <c r="D6" s="10" t="n">
        <v>0.5</v>
      </c>
      <c r="E6" s="13" t="n">
        <f aca="false">C6-B6</f>
        <v>0.08</v>
      </c>
      <c r="F6" s="13" t="n">
        <f aca="false">D6-B6</f>
        <v>0</v>
      </c>
      <c r="G6" s="14" t="n">
        <f aca="false">B6+$B$3*(E6+F6)</f>
        <v>0.58</v>
      </c>
      <c r="H6" s="9" t="str">
        <f aca="false">IF(E6*F6&lt;0,"yes — signs differ","")</f>
        <v/>
      </c>
      <c r="I6" s="15" t="n">
        <f aca="false">SIGN(E6+F6)</f>
        <v>1</v>
      </c>
      <c r="J6" s="14" t="n">
        <f aca="false">B6+$B$3*(IF(SIGN(E6)=I6,E6,0)+IF(SIGN(F6)=I6,F6,0))</f>
        <v>0.58</v>
      </c>
    </row>
    <row r="7" customFormat="false" ht="15" hidden="false" customHeight="true" outlineLevel="0" collapsed="false">
      <c r="A7" s="9" t="s">
        <v>97</v>
      </c>
      <c r="B7" s="10" t="n">
        <v>-0.2</v>
      </c>
      <c r="C7" s="10" t="n">
        <v>-0.2</v>
      </c>
      <c r="D7" s="10" t="n">
        <v>-0.11</v>
      </c>
      <c r="E7" s="13" t="n">
        <f aca="false">C7-B7</f>
        <v>0</v>
      </c>
      <c r="F7" s="13" t="n">
        <f aca="false">D7-B7</f>
        <v>0.09</v>
      </c>
      <c r="G7" s="14" t="n">
        <f aca="false">B7+$B$3*(E7+F7)</f>
        <v>-0.11</v>
      </c>
      <c r="H7" s="9" t="str">
        <f aca="false">IF(E7*F7&lt;0,"yes — signs differ","")</f>
        <v/>
      </c>
      <c r="I7" s="15" t="n">
        <f aca="false">SIGN(E7+F7)</f>
        <v>1</v>
      </c>
      <c r="J7" s="14" t="n">
        <f aca="false">B7+$B$3*(IF(SIGN(E7)=I7,E7,0)+IF(SIGN(F7)=I7,F7,0))</f>
        <v>-0.11</v>
      </c>
    </row>
    <row r="8" customFormat="false" ht="15" hidden="false" customHeight="true" outlineLevel="0" collapsed="false">
      <c r="A8" s="9" t="s">
        <v>98</v>
      </c>
      <c r="B8" s="10" t="n">
        <v>0.1</v>
      </c>
      <c r="C8" s="10" t="n">
        <v>0.06</v>
      </c>
      <c r="D8" s="10" t="n">
        <v>0.12</v>
      </c>
      <c r="E8" s="13" t="n">
        <f aca="false">C8-B8</f>
        <v>-0.04</v>
      </c>
      <c r="F8" s="13" t="n">
        <f aca="false">D8-B8</f>
        <v>0.02</v>
      </c>
      <c r="G8" s="14" t="n">
        <f aca="false">B8+$B$3*(E8+F8)</f>
        <v>0.08</v>
      </c>
      <c r="H8" s="9" t="str">
        <f aca="false">IF(E8*F8&lt;0,"yes — signs differ","")</f>
        <v>yes — signs differ</v>
      </c>
      <c r="I8" s="15" t="n">
        <f aca="false">SIGN(E8+F8)</f>
        <v>-1</v>
      </c>
      <c r="J8" s="14" t="n">
        <f aca="false">B8+$B$3*(IF(SIGN(E8)=I8,E8,0)+IF(SIGN(F8)=I8,F8,0))</f>
        <v>0.06</v>
      </c>
    </row>
    <row r="9" customFormat="false" ht="15" hidden="false" customHeight="true" outlineLevel="0" collapsed="false">
      <c r="A9" s="9" t="s">
        <v>99</v>
      </c>
      <c r="B9" s="10" t="n">
        <v>0.3</v>
      </c>
      <c r="C9" s="10" t="n">
        <v>0.3</v>
      </c>
      <c r="D9" s="10" t="n">
        <v>0.24</v>
      </c>
      <c r="E9" s="13" t="n">
        <f aca="false">C9-B9</f>
        <v>0</v>
      </c>
      <c r="F9" s="13" t="n">
        <f aca="false">D9-B9</f>
        <v>-0.06</v>
      </c>
      <c r="G9" s="14" t="n">
        <f aca="false">B9+$B$3*(E9+F9)</f>
        <v>0.24</v>
      </c>
      <c r="H9" s="9" t="str">
        <f aca="false">IF(E9*F9&lt;0,"yes — signs differ","")</f>
        <v/>
      </c>
      <c r="I9" s="15" t="n">
        <f aca="false">SIGN(E9+F9)</f>
        <v>-1</v>
      </c>
      <c r="J9" s="14" t="n">
        <f aca="false">B9+$B$3*(IF(SIGN(E9)=I9,E9,0)+IF(SIGN(F9)=I9,F9,0))</f>
        <v>0.24</v>
      </c>
    </row>
    <row r="11" customFormat="false" ht="15" hidden="false" customHeight="true" outlineLevel="0" collapsed="false">
      <c r="A11" s="19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6"/>
  </cols>
  <sheetData>
    <row r="1" customFormat="false" ht="15.75" hidden="false" customHeight="true" outlineLevel="0" collapsed="false">
      <c r="A1" s="8" t="s">
        <v>101</v>
      </c>
    </row>
    <row r="3" customFormat="false" ht="15" hidden="false" customHeight="true" outlineLevel="0" collapsed="false">
      <c r="A3" s="9" t="s">
        <v>102</v>
      </c>
      <c r="B3" s="16" t="n">
        <v>10000</v>
      </c>
    </row>
    <row r="4" customFormat="false" ht="15" hidden="false" customHeight="true" outlineLevel="0" collapsed="false">
      <c r="A4" s="9" t="s">
        <v>103</v>
      </c>
      <c r="B4" s="16" t="n">
        <v>2000</v>
      </c>
    </row>
    <row r="5" customFormat="false" ht="15" hidden="false" customHeight="true" outlineLevel="0" collapsed="false">
      <c r="A5" s="9" t="s">
        <v>104</v>
      </c>
      <c r="B5" s="27" t="n">
        <v>3</v>
      </c>
    </row>
    <row r="6" customFormat="false" ht="15" hidden="false" customHeight="true" outlineLevel="0" collapsed="false">
      <c r="A6" s="9" t="s">
        <v>105</v>
      </c>
      <c r="B6" s="28" t="n">
        <v>8030000000</v>
      </c>
    </row>
    <row r="7" customFormat="false" ht="15" hidden="false" customHeight="true" outlineLevel="0" collapsed="false">
      <c r="A7" s="9" t="s">
        <v>106</v>
      </c>
      <c r="B7" s="27" t="n">
        <v>6</v>
      </c>
    </row>
    <row r="8" customFormat="false" ht="15" hidden="false" customHeight="true" outlineLevel="0" collapsed="false">
      <c r="A8" s="9" t="s">
        <v>107</v>
      </c>
      <c r="B8" s="16" t="n">
        <v>50</v>
      </c>
    </row>
    <row r="9" customFormat="false" ht="15" hidden="false" customHeight="true" outlineLevel="0" collapsed="false">
      <c r="A9" s="9" t="s">
        <v>108</v>
      </c>
      <c r="B9" s="16" t="n">
        <v>400</v>
      </c>
    </row>
    <row r="10" customFormat="false" ht="15" hidden="false" customHeight="true" outlineLevel="0" collapsed="false">
      <c r="A10" s="9" t="s">
        <v>109</v>
      </c>
      <c r="B10" s="16" t="n">
        <v>150</v>
      </c>
    </row>
    <row r="11" customFormat="false" ht="15" hidden="false" customHeight="true" outlineLevel="0" collapsed="false">
      <c r="A11" s="12"/>
      <c r="B11" s="17"/>
    </row>
    <row r="12" customFormat="false" ht="15" hidden="false" customHeight="true" outlineLevel="0" collapsed="false">
      <c r="A12" s="12" t="s">
        <v>110</v>
      </c>
      <c r="B12" s="17" t="n">
        <f aca="false">B3*B4</f>
        <v>20000000</v>
      </c>
    </row>
    <row r="13" customFormat="false" ht="15" hidden="false" customHeight="true" outlineLevel="0" collapsed="false">
      <c r="A13" s="12" t="s">
        <v>111</v>
      </c>
      <c r="B13" s="17" t="n">
        <f aca="false">B12*B5</f>
        <v>60000000</v>
      </c>
    </row>
    <row r="14" customFormat="false" ht="15" hidden="false" customHeight="true" outlineLevel="0" collapsed="false">
      <c r="A14" s="12" t="s">
        <v>112</v>
      </c>
      <c r="B14" s="29" t="n">
        <f aca="false">B7*B6*B13</f>
        <v>2.8908E+018</v>
      </c>
    </row>
    <row r="15" customFormat="false" ht="15" hidden="false" customHeight="true" outlineLevel="0" collapsed="false">
      <c r="A15" s="12" t="s">
        <v>113</v>
      </c>
      <c r="B15" s="17" t="n">
        <f aca="false">B14/(B8*1000000000000)</f>
        <v>57816</v>
      </c>
    </row>
    <row r="16" customFormat="false" ht="15" hidden="false" customHeight="true" outlineLevel="0" collapsed="false">
      <c r="A16" s="12" t="s">
        <v>114</v>
      </c>
      <c r="B16" s="30" t="n">
        <f aca="false">B15/3600</f>
        <v>16.06</v>
      </c>
    </row>
    <row r="17" customFormat="false" ht="15" hidden="false" customHeight="true" outlineLevel="0" collapsed="false">
      <c r="A17" s="12" t="s">
        <v>115</v>
      </c>
      <c r="B17" s="30" t="n">
        <f aca="false">B14/(B9*1000000000000)/3600</f>
        <v>2.0075</v>
      </c>
    </row>
    <row r="18" customFormat="false" ht="15" hidden="false" customHeight="true" outlineLevel="0" collapsed="false">
      <c r="A18" s="12" t="s">
        <v>116</v>
      </c>
      <c r="B18" s="30" t="n">
        <f aca="false">B14/(B10*1000000000000)/3600</f>
        <v>5.35333333333333</v>
      </c>
    </row>
    <row r="19" customFormat="false" ht="15" hidden="false" customHeight="true" outlineLevel="0" collapsed="false">
      <c r="A19" s="12" t="s">
        <v>117</v>
      </c>
      <c r="B19" s="30" t="n">
        <f aca="false">'LoRA Parameters'!B18</f>
        <v>16.73108864</v>
      </c>
    </row>
    <row r="20" customFormat="false" ht="15" hidden="false" customHeight="true" outlineLevel="0" collapsed="false">
      <c r="A20" s="12" t="s">
        <v>118</v>
      </c>
      <c r="B20" s="30" t="n">
        <f aca="false">'LoRA Parameters'!B25</f>
        <v>6.372895181712</v>
      </c>
    </row>
    <row r="21" customFormat="false" ht="15" hidden="false" customHeight="true" outlineLevel="0" collapsed="false">
      <c r="A21" s="12" t="s">
        <v>65</v>
      </c>
      <c r="B21" s="21" t="n">
        <f aca="false">B20/B19</f>
        <v>0.380901405690718</v>
      </c>
    </row>
    <row r="23" customFormat="false" ht="15" hidden="false" customHeight="true" outlineLevel="0" collapsed="false">
      <c r="A23" s="19" t="s">
        <v>119</v>
      </c>
    </row>
    <row r="24" customFormat="false" ht="15" hidden="false" customHeight="true" outlineLevel="0" collapsed="false">
      <c r="A24" s="19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2026-10-02T14:08:25Z</dcterms:created>
  <dc:creator>Leonhard Korowajczuk</dc:creator>
  <dc:description/>
  <dc:language>en-US</dc:language>
  <cp:lastModifiedBy>Leonhard Korowajczuk</cp:lastModifiedBy>
  <dcterms:modified xsi:type="dcterms:W3CDTF">2026-10-20T17:46:35Z</dcterms:modified>
  <cp:revision>0</cp:revision>
  <dc:subject/>
  <dc:title>Adaptation: Fine-Tuning, LoRA and Distillation — companion workbook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