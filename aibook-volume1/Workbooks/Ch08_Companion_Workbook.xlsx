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inear Attention" sheetId="2" state="visible" r:id="rId4"/>
    <sheet name="Selective SSM" sheetId="3" state="visible" r:id="rId5"/>
    <sheet name="State versus Cache" sheetId="4" state="visible" r:id="rId6"/>
    <sheet name="Diffusion Timing" sheetId="5" state="visible" r:id="rId7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<sst xmlns="http://schemas.openxmlformats.org/spreadsheetml/2006/main" count="144" uniqueCount="133">
  <si>
    <t xml:space="preserve">Chapter 8 — Beyond Attention: State-Space Models, Hybrids and Alternatives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</si>
  <si>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</si>
  <si>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</si>
  <si>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</si>
  <si>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</si>
  <si>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Linear Attention</t>
  </si>
  <si>
    <t xml:space="preserve">Parallel and recurrent forms, interference in the fixed state, and the delta rule applied token by token.</t>
  </si>
  <si>
    <t xml:space="preserve">Worked Example 8.1</t>
  </si>
  <si>
    <t xml:space="preserve">Selective SSM</t>
  </si>
  <si>
    <t xml:space="preserve">A one-dimensional selective recurrence against a fixed one.</t>
  </si>
  <si>
    <t xml:space="preserve">Worked Example 8.2</t>
  </si>
  <si>
    <t xml:space="preserve">State versus Cache</t>
  </si>
  <si>
    <t xml:space="preserve">Memory per sequence for attention, recurrent and hybrid configurations, and how many long sequences fit on a 128 GB Box.</t>
  </si>
  <si>
    <t xml:space="preserve">Worked Examples 8.3 and 8.4, Figure 8.4</t>
  </si>
  <si>
    <t xml:space="preserve">Diffusion Timing</t>
  </si>
  <si>
    <t xml:space="preserve">Autoregressive versus diffusion latency, throughput and compute use.</t>
  </si>
  <si>
    <t xml:space="preserve">Worked Example 8.5</t>
  </si>
  <si>
    <t xml:space="preserve">Notes</t>
  </si>
  <si>
    <t xml:space="preserve">Units are decimal (1 GB = 10^9 bytes); 16-bit values unless stated.</t>
  </si>
  <si>
    <t xml:space="preserve">Linear Attention: Parallel and Recurrent Forms (Worked Example 8.1)</t>
  </si>
  <si>
    <t xml:space="preserve">Token</t>
  </si>
  <si>
    <t xml:space="preserve">k1</t>
  </si>
  <si>
    <t xml:space="preserve">k2</t>
  </si>
  <si>
    <t xml:space="preserve">v1</t>
  </si>
  <si>
    <t xml:space="preserve">v2</t>
  </si>
  <si>
    <t xml:space="preserve">q·k (score)</t>
  </si>
  <si>
    <t xml:space="preserve">score × v1</t>
  </si>
  <si>
    <t xml:space="preserve">score × v2</t>
  </si>
  <si>
    <t xml:space="preserve">query q</t>
  </si>
  <si>
    <t xml:space="preserve">token 1</t>
  </si>
  <si>
    <t xml:space="preserve">token 2</t>
  </si>
  <si>
    <t xml:space="preserve">token 3</t>
  </si>
  <si>
    <t xml:space="preserve">Parallel output</t>
  </si>
  <si>
    <t xml:space="preserve">State S = Σ k vᵀ</t>
  </si>
  <si>
    <t xml:space="preserve">column 1</t>
  </si>
  <si>
    <t xml:space="preserve">column 2</t>
  </si>
  <si>
    <t xml:space="preserve">row 1</t>
  </si>
  <si>
    <t xml:space="preserve">row 2</t>
  </si>
  <si>
    <t xml:space="preserve">Recurrent output qᵀS</t>
  </si>
  <si>
    <t xml:space="preserve">Read back with k1: k1ᵀS (should be v1)</t>
  </si>
  <si>
    <t xml:space="preserve">Read back with k3: k3ᵀS (should be v3)</t>
  </si>
  <si>
    <t xml:space="preserve">β as a multiple of 1/‖k‖² (1 = the text’s choice)</t>
  </si>
  <si>
    <t xml:space="preserve">Delta rule applied token by token from S = 0: S ← S + β k (v − Sᵀk)ᵀ, with β = 1/‖k‖² so that each new key reads back its own value</t>
  </si>
  <si>
    <t xml:space="preserve">Step</t>
  </si>
  <si>
    <t xml:space="preserve">β</t>
  </si>
  <si>
    <t xml:space="preserve">Sᵀk, column 1</t>
  </si>
  <si>
    <t xml:space="preserve">Sᵀk, column 2</t>
  </si>
  <si>
    <t xml:space="preserve">error, column 1</t>
  </si>
  <si>
    <t xml:space="preserve">error, column 2</t>
  </si>
  <si>
    <t xml:space="preserve">S row 1, column 1</t>
  </si>
  <si>
    <t xml:space="preserve">S row 1, column 2</t>
  </si>
  <si>
    <t xml:space="preserve">S row 2, column 1</t>
  </si>
  <si>
    <t xml:space="preserve">S row 2, column 2</t>
  </si>
  <si>
    <t xml:space="preserve">start: S = 0</t>
  </si>
  <si>
    <t xml:space="preserve">State after the delta rule</t>
  </si>
  <si>
    <t xml:space="preserve">Read back with k3: k3ᵀS (now exactly v3)</t>
  </si>
  <si>
    <t xml:space="preserve">Read back with k1: k1ᵀS (v1 overwritten)</t>
  </si>
  <si>
    <t xml:space="preserve">A 2 × 2 state holds only two independent associations exactly; k3 overlaps k1 and k2, so writing it overwrites what was stored along its direction.</t>
  </si>
  <si>
    <t xml:space="preserve">Selective versus Fixed State Update, A = −1 (Worked Example 8.2)</t>
  </si>
  <si>
    <t xml:space="preserve">Fixed step size Δ (non-selective)</t>
  </si>
  <si>
    <t xml:space="preserve">Input x</t>
  </si>
  <si>
    <t xml:space="preserve">Selective Δ</t>
  </si>
  <si>
    <t xml:space="preserve">Ā = e^(−Δ)</t>
  </si>
  <si>
    <t xml:space="preserve">B̄ = 1 − Ā</t>
  </si>
  <si>
    <t xml:space="preserve">Selective h</t>
  </si>
  <si>
    <t xml:space="preserve">Fixed Ā</t>
  </si>
  <si>
    <t xml:space="preserve">Fixed h</t>
  </si>
  <si>
    <t xml:space="preserve">Share of the first input retained after step 4</t>
  </si>
  <si>
    <t xml:space="preserve">Steps 1–4 reproduce Worked Example 8.2 (A = −1, B = 1, so Ā = e^(−Δ) and B̄ = 1 − e^(−Δ)); steps 5–6 continue with two more filler tokens.</t>
  </si>
  <si>
    <t xml:space="preserve">Memory per Sequence: KV Cache plus Recurrent State (Worked Examples 8.3 and 8.4, Figure 8.4)</t>
  </si>
  <si>
    <t xml:space="preserve">Context length (tokens)</t>
  </si>
  <si>
    <t xml:space="preserve">Bytes per value</t>
  </si>
  <si>
    <t xml:space="preserve">Model</t>
  </si>
  <si>
    <t xml:space="preserve">Attention layers</t>
  </si>
  <si>
    <t xml:space="preserve">KV heads</t>
  </si>
  <si>
    <t xml:space="preserve">Head dim</t>
  </si>
  <si>
    <t xml:space="preserve">Recurrent layers</t>
  </si>
  <si>
    <t xml:space="preserve">State numbers per recurrent layer</t>
  </si>
  <si>
    <t xml:space="preserve">KV bytes per token</t>
  </si>
  <si>
    <t xml:space="preserve">State (MB)</t>
  </si>
  <si>
    <t xml:space="preserve">Total at context (GB)</t>
  </si>
  <si>
    <t xml:space="preserve">Pythia-2.8B (dense MHA)</t>
  </si>
  <si>
    <t xml:space="preserve">Qwen3-32B (dense GQA)</t>
  </si>
  <si>
    <t xml:space="preserve">Qwen3-Next-80B-A3B (hybrid)</t>
  </si>
  <si>
    <t xml:space="preserve">Mamba-2.8B (pure SSM)</t>
  </si>
  <si>
    <t xml:space="preserve">Break-even context: Mamba state = Pythia cache (tokens)</t>
  </si>
  <si>
    <t xml:space="preserve">Worked Example 8.3: Mamba-2.8B against Pythia-2.8B</t>
  </si>
  <si>
    <t xml:space="preserve">Value</t>
  </si>
  <si>
    <t xml:space="preserve">Pythia-2.8B cache at that length (GB)</t>
  </si>
  <si>
    <t xml:space="preserve">Mamba-2.8B state at any length (MB)</t>
  </si>
  <si>
    <t xml:space="preserve">Pythia cache ÷ Mamba state</t>
  </si>
  <si>
    <t xml:space="preserve">Mamba-2.8B state numbers per sequence (millions)</t>
  </si>
  <si>
    <t xml:space="preserve">Worked Example 8.4: Qwen3-Next-80B-A3B against a dense Qwen3-32B at the context in B3</t>
  </si>
  <si>
    <t xml:space="preserve">Hybrid: attention cache (GB)</t>
  </si>
  <si>
    <t xml:space="preserve">Hybrid: recurrent state (MB)</t>
  </si>
  <si>
    <t xml:space="preserve">Hybrid: total (GB)</t>
  </si>
  <si>
    <t xml:space="preserve">Dense Qwen3-32B: cache (GB)</t>
  </si>
  <si>
    <t xml:space="preserve">Dense ÷ hybrid</t>
  </si>
  <si>
    <t xml:space="preserve">On a Box with 128 GB of unified memory (Worked Example 8.4, Reading)</t>
  </si>
  <si>
    <t xml:space="preserve">Box memory (GB): advanced Box with 128 GB of unified memory (Table P.3)</t>
  </si>
  <si>
    <t xml:space="preserve">Bits per weight of a typical 4-bit format (Table P.2)</t>
  </si>
  <si>
    <t xml:space="preserve">Qwen3-Next-80B-A3B parameters (billions)</t>
  </si>
  <si>
    <t xml:space="preserve">Qwen3-32B parameters (billions)</t>
  </si>
  <si>
    <t xml:space="preserve">Qwen3-Next-80B-A3B weights (GB)</t>
  </si>
  <si>
    <t xml:space="preserve">Qwen3-Next-80B-A3B: sequences of the context in B3 that fit beside the weights</t>
  </si>
  <si>
    <t xml:space="preserve">Qwen3-32B weights (GB)</t>
  </si>
  <si>
    <t xml:space="preserve">Qwen3-32B: sequences of the context in B3 that fit beside the weights</t>
  </si>
  <si>
    <t xml:space="preserve">Pythia-2.8B: 32 heads of 80 (d = 2,560). Mamba-2.8B state: 5,120 × 16 + 5,120 × 3 convolution values per layer. Qwen3-Next-80B-A3B: 32 × 128 × 128 state numbers per Gated DeltaNet layer. States in 16 bits; engines that keep them in 32 bits double the state column.</t>
  </si>
  <si>
    <t xml:space="preserve">Autoregressive versus Diffusion Generation (Worked Example 8.5)</t>
  </si>
  <si>
    <t xml:space="preserve">Parameters (billions)</t>
  </si>
  <si>
    <t xml:space="preserve">Bytes per weight</t>
  </si>
  <si>
    <t xml:space="preserve">Tokens to generate</t>
  </si>
  <si>
    <t xml:space="preserve">Diffusion steps</t>
  </si>
  <si>
    <t xml:space="preserve">Bandwidth (GB/s)</t>
  </si>
  <si>
    <t xml:space="preserve">Effective compute (TFLOP/s)</t>
  </si>
  <si>
    <t xml:space="preserve">Concurrent users (autoregressive batch)</t>
  </si>
  <si>
    <t xml:space="preserve">Quantity</t>
  </si>
  <si>
    <t xml:space="preserve">Autoregressive, 1 user</t>
  </si>
  <si>
    <t xml:space="preserve">Diffusion, 1 user</t>
  </si>
  <si>
    <t xml:space="preserve">Autoregressive, batch</t>
  </si>
  <si>
    <t xml:space="preserve">Weight read per pass (ms)</t>
  </si>
  <si>
    <t xml:space="preserve">Compute per pass (ms)</t>
  </si>
  <si>
    <t xml:space="preserve">Time per pass (ms) = max of the two</t>
  </si>
  <si>
    <t xml:space="preserve">Passes</t>
  </si>
  <si>
    <t xml:space="preserve">Total time (s)</t>
  </si>
  <si>
    <t xml:space="preserve">Tokens per second, total</t>
  </si>
  <si>
    <t xml:space="preserve">Total compute (TFLOPs)</t>
  </si>
  <si>
    <t xml:space="preserve">Tokens per pass</t>
  </si>
  <si>
    <t xml:space="preserve">Compute per pass (TFLOPs)</t>
  </si>
  <si>
    <t xml:space="preserve">Throughput relative to autoregressive, 1 user</t>
  </si>
  <si>
    <t xml:space="preserve">Compute per generated token relative to autoregressive, 1 user</t>
  </si>
  <si>
    <t xml:space="preserve">Share of each pass spent computing (compute ÷ pass time)</t>
  </si>
  <si>
    <t xml:space="preserve">Simple roofline model: a pass takes the longer of its weight read and its computation (Section 2.5.5). Prompt processing and key–value reads (small at 256 tokens) are ignored.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</si>
</sst>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"/>
    <numFmt numFmtId="167" formatCode="0.000"/>
    <numFmt numFmtId="168" formatCode="0%"/>
    <numFmt numFmtId="169" formatCode="#,##0"/>
    <numFmt numFmtId="170" formatCode="#,##0.0"/>
    <numFmt numFmtId="171" formatCode="#,##0.00"/>
    <numFmt numFmtId="172" formatCode="0.0"/>
    <numFmt numFmtId="173" formatCode="#,##0.000"/>
    <numFmt numFmtId="174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15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30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15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15" hidden="false" customHeight="true" outlineLevel="0" collapsed="false">
      <c r="A9" s="4"/>
    </row>
    <row r="10" customFormat="false" ht="15" hidden="false" customHeight="true" outlineLevel="0" collapsed="false">
      <c r="A10" s="8" t="s">
        <v>17</v>
      </c>
    </row>
    <row r="11" customFormat="false" ht="15" hidden="false" customHeight="true" outlineLevel="0" collapsed="false">
      <c r="A11" s="9" t="s">
        <v>18</v>
      </c>
      <c r="B11" s="9"/>
      <c r="C11" s="9"/>
    </row>
    <row r="12" customFormat="false" ht="15" hidden="false" customHeight="true" outlineLevel="0" collapsed="false">
      <c r="A12" s="4"/>
    </row>
  </sheetData>
  <mergeCells count="2">
    <mergeCell ref="A2:C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8" min="7" style="1" width="12"/>
    <col collapsed="false" customWidth="true" hidden="false" outlineLevel="0" max="10" min="9" style="1" width="11"/>
  </cols>
  <sheetData>
    <row r="1" customFormat="false" ht="15.75" hidden="false" customHeight="true" outlineLevel="0" collapsed="false">
      <c r="A1" s="10" t="s">
        <v>19</v>
      </c>
    </row>
    <row r="3" customFormat="false" ht="15" hidden="false" customHeight="true" outlineLevel="0" collapsed="false">
      <c r="A3" s="11" t="s">
        <v>20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  <c r="H3" s="11" t="s">
        <v>27</v>
      </c>
    </row>
    <row r="4" customFormat="false" ht="15" hidden="false" customHeight="true" outlineLevel="0" collapsed="false">
      <c r="A4" s="12" t="s">
        <v>28</v>
      </c>
      <c r="B4" s="13" t="n">
        <v>1</v>
      </c>
      <c r="C4" s="13" t="n">
        <v>2</v>
      </c>
    </row>
    <row r="5" customFormat="false" ht="15" hidden="false" customHeight="true" outlineLevel="0" collapsed="false">
      <c r="A5" s="14" t="s">
        <v>29</v>
      </c>
      <c r="B5" s="13" t="n">
        <v>1</v>
      </c>
      <c r="C5" s="13" t="n">
        <v>0</v>
      </c>
      <c r="D5" s="13" t="n">
        <v>1</v>
      </c>
      <c r="E5" s="13" t="n">
        <v>2</v>
      </c>
      <c r="F5" s="15" t="n">
        <f aca="false">$B$4*B5+$C$4*C5</f>
        <v>1</v>
      </c>
      <c r="G5" s="15" t="n">
        <f aca="false">F5*D5</f>
        <v>1</v>
      </c>
      <c r="H5" s="15" t="n">
        <f aca="false">F5*E5</f>
        <v>2</v>
      </c>
    </row>
    <row r="6" customFormat="false" ht="15" hidden="false" customHeight="true" outlineLevel="0" collapsed="false">
      <c r="A6" s="14" t="s">
        <v>30</v>
      </c>
      <c r="B6" s="13" t="n">
        <v>0</v>
      </c>
      <c r="C6" s="13" t="n">
        <v>1</v>
      </c>
      <c r="D6" s="13" t="n">
        <v>3</v>
      </c>
      <c r="E6" s="13" t="n">
        <v>0</v>
      </c>
      <c r="F6" s="15" t="n">
        <f aca="false">$B$4*B6+$C$4*C6</f>
        <v>2</v>
      </c>
      <c r="G6" s="15" t="n">
        <f aca="false">F6*D6</f>
        <v>6</v>
      </c>
      <c r="H6" s="15" t="n">
        <f aca="false">F6*E6</f>
        <v>0</v>
      </c>
    </row>
    <row r="7" customFormat="false" ht="15" hidden="false" customHeight="true" outlineLevel="0" collapsed="false">
      <c r="A7" s="14" t="s">
        <v>31</v>
      </c>
      <c r="B7" s="13" t="n">
        <v>1</v>
      </c>
      <c r="C7" s="13" t="n">
        <v>1</v>
      </c>
      <c r="D7" s="13" t="n">
        <v>0</v>
      </c>
      <c r="E7" s="13" t="n">
        <v>1</v>
      </c>
      <c r="F7" s="15" t="n">
        <f aca="false">$B$4*B7+$C$4*C7</f>
        <v>3</v>
      </c>
      <c r="G7" s="15" t="n">
        <f aca="false">F7*D7</f>
        <v>0</v>
      </c>
      <c r="H7" s="15" t="n">
        <f aca="false">F7*E7</f>
        <v>3</v>
      </c>
    </row>
    <row r="9" customFormat="false" ht="15" hidden="false" customHeight="true" outlineLevel="0" collapsed="false">
      <c r="A9" s="12" t="s">
        <v>32</v>
      </c>
      <c r="G9" s="16" t="n">
        <f aca="false">SUM(G5:G7)</f>
        <v>7</v>
      </c>
      <c r="H9" s="16" t="n">
        <f aca="false">SUM(H5:H7)</f>
        <v>5</v>
      </c>
    </row>
    <row r="11" customFormat="false" ht="15" hidden="false" customHeight="true" outlineLevel="0" collapsed="false">
      <c r="A11" s="11" t="s">
        <v>33</v>
      </c>
      <c r="B11" s="11" t="s">
        <v>34</v>
      </c>
      <c r="C11" s="11" t="s">
        <v>35</v>
      </c>
    </row>
    <row r="12" customFormat="false" ht="15" hidden="false" customHeight="true" outlineLevel="0" collapsed="false">
      <c r="A12" s="14" t="s">
        <v>36</v>
      </c>
      <c r="B12" s="15" t="n">
        <f aca="false">SUMPRODUCT(B5:B7,D5:D7)</f>
        <v>1</v>
      </c>
      <c r="C12" s="15" t="n">
        <f aca="false">SUMPRODUCT(B5:B7,E5:E7)</f>
        <v>3</v>
      </c>
    </row>
    <row r="13" customFormat="false" ht="15" hidden="false" customHeight="true" outlineLevel="0" collapsed="false">
      <c r="A13" s="14" t="s">
        <v>37</v>
      </c>
      <c r="B13" s="15" t="n">
        <f aca="false">SUMPRODUCT(C5:C7,D5:D7)</f>
        <v>3</v>
      </c>
      <c r="C13" s="15" t="n">
        <f aca="false">SUMPRODUCT(C5:C7,E5:E7)</f>
        <v>1</v>
      </c>
    </row>
    <row r="14" customFormat="false" ht="15" hidden="false" customHeight="true" outlineLevel="0" collapsed="false">
      <c r="A14" s="12" t="s">
        <v>38</v>
      </c>
      <c r="B14" s="16" t="n">
        <f aca="false">B4*B12+C4*B13</f>
        <v>7</v>
      </c>
      <c r="C14" s="16" t="n">
        <f aca="false">B4*C12+C4*C13</f>
        <v>5</v>
      </c>
    </row>
    <row r="15" customFormat="false" ht="15" hidden="false" customHeight="true" outlineLevel="0" collapsed="false">
      <c r="A15" s="14" t="s">
        <v>39</v>
      </c>
      <c r="B15" s="15" t="n">
        <f aca="false">B5*B12+C5*B13</f>
        <v>1</v>
      </c>
      <c r="C15" s="15" t="n">
        <f aca="false">B5*C12+C5*C13</f>
        <v>3</v>
      </c>
    </row>
    <row r="16" customFormat="false" ht="15" hidden="false" customHeight="true" outlineLevel="0" collapsed="false">
      <c r="A16" s="14" t="s">
        <v>40</v>
      </c>
      <c r="B16" s="15" t="n">
        <f aca="false">B7*B12+C7*B13</f>
        <v>4</v>
      </c>
      <c r="C16" s="15" t="n">
        <f aca="false">B7*C12+C7*C13</f>
        <v>4</v>
      </c>
    </row>
    <row r="17" customFormat="false" ht="15" hidden="false" customHeight="true" outlineLevel="0" collapsed="false">
      <c r="A17" s="14" t="s">
        <v>41</v>
      </c>
      <c r="B17" s="13" t="n">
        <v>1</v>
      </c>
    </row>
    <row r="18" customFormat="false" ht="15" hidden="false" customHeight="true" outlineLevel="0" collapsed="false">
      <c r="A18" s="17" t="s">
        <v>42</v>
      </c>
    </row>
    <row r="19" customFormat="false" ht="27" hidden="false" customHeight="true" outlineLevel="0" collapsed="false">
      <c r="A19" s="11" t="s">
        <v>43</v>
      </c>
      <c r="B19" s="11" t="s">
        <v>44</v>
      </c>
      <c r="C19" s="11" t="s">
        <v>45</v>
      </c>
      <c r="D19" s="11" t="s">
        <v>46</v>
      </c>
      <c r="E19" s="11" t="s">
        <v>47</v>
      </c>
      <c r="F19" s="11" t="s">
        <v>48</v>
      </c>
      <c r="G19" s="11" t="s">
        <v>49</v>
      </c>
      <c r="H19" s="11" t="s">
        <v>50</v>
      </c>
      <c r="I19" s="11" t="s">
        <v>51</v>
      </c>
      <c r="J19" s="11" t="s">
        <v>52</v>
      </c>
    </row>
    <row r="20" customFormat="false" ht="15" hidden="false" customHeight="true" outlineLevel="0" collapsed="false">
      <c r="A20" s="14" t="s">
        <v>53</v>
      </c>
      <c r="B20" s="15"/>
      <c r="C20" s="15"/>
      <c r="G20" s="13" t="n">
        <v>0</v>
      </c>
      <c r="H20" s="13" t="n">
        <v>0</v>
      </c>
      <c r="I20" s="13" t="n">
        <v>0</v>
      </c>
      <c r="J20" s="13" t="n">
        <v>0</v>
      </c>
    </row>
    <row r="21" customFormat="false" ht="15" hidden="false" customHeight="true" outlineLevel="0" collapsed="false">
      <c r="A21" s="14" t="s">
        <v>29</v>
      </c>
      <c r="B21" s="15" t="n">
        <f aca="false">$B$17/(B5^2+C5^2)</f>
        <v>1</v>
      </c>
      <c r="C21" s="15" t="n">
        <f aca="false">G20*B5+I20*C5</f>
        <v>0</v>
      </c>
      <c r="D21" s="15" t="n">
        <f aca="false">H20*B5+J20*C5</f>
        <v>0</v>
      </c>
      <c r="E21" s="15" t="n">
        <f aca="false">D5-C21</f>
        <v>1</v>
      </c>
      <c r="F21" s="15" t="n">
        <f aca="false">E5-D21</f>
        <v>2</v>
      </c>
      <c r="G21" s="15" t="n">
        <f aca="false">G20+B21*B5*E21</f>
        <v>1</v>
      </c>
      <c r="H21" s="15" t="n">
        <f aca="false">H20+B21*B5*F21</f>
        <v>2</v>
      </c>
      <c r="I21" s="15" t="n">
        <f aca="false">I20+B21*C5*E21</f>
        <v>0</v>
      </c>
      <c r="J21" s="15" t="n">
        <f aca="false">J20+B21*C5*F21</f>
        <v>0</v>
      </c>
    </row>
    <row r="22" customFormat="false" ht="15" hidden="false" customHeight="true" outlineLevel="0" collapsed="false">
      <c r="A22" s="14" t="s">
        <v>30</v>
      </c>
      <c r="B22" s="15" t="n">
        <f aca="false">$B$17/(B6^2+C6^2)</f>
        <v>1</v>
      </c>
      <c r="C22" s="15" t="n">
        <f aca="false">G21*B6+I21*C6</f>
        <v>0</v>
      </c>
      <c r="D22" s="15" t="n">
        <f aca="false">H21*B6+J21*C6</f>
        <v>0</v>
      </c>
      <c r="E22" s="15" t="n">
        <f aca="false">D6-C22</f>
        <v>3</v>
      </c>
      <c r="F22" s="15" t="n">
        <f aca="false">E6-D22</f>
        <v>0</v>
      </c>
      <c r="G22" s="15" t="n">
        <f aca="false">G21+B22*B6*E22</f>
        <v>1</v>
      </c>
      <c r="H22" s="15" t="n">
        <f aca="false">H21+B22*B6*F22</f>
        <v>2</v>
      </c>
      <c r="I22" s="15" t="n">
        <f aca="false">I21+B22*C6*E22</f>
        <v>3</v>
      </c>
      <c r="J22" s="15" t="n">
        <f aca="false">J21+B22*C6*F22</f>
        <v>0</v>
      </c>
    </row>
    <row r="23" customFormat="false" ht="15" hidden="false" customHeight="true" outlineLevel="0" collapsed="false">
      <c r="A23" s="14" t="s">
        <v>31</v>
      </c>
      <c r="B23" s="15" t="n">
        <f aca="false">$B$17/(B7^2+C7^2)</f>
        <v>0.5</v>
      </c>
      <c r="C23" s="15" t="n">
        <f aca="false">G22*B7+I22*C7</f>
        <v>4</v>
      </c>
      <c r="D23" s="15" t="n">
        <f aca="false">H22*B7+J22*C7</f>
        <v>2</v>
      </c>
      <c r="E23" s="15" t="n">
        <f aca="false">D7-C23</f>
        <v>-4</v>
      </c>
      <c r="F23" s="15" t="n">
        <f aca="false">E7-D23</f>
        <v>-1</v>
      </c>
      <c r="G23" s="15" t="n">
        <f aca="false">G22+B23*B7*E23</f>
        <v>-1</v>
      </c>
      <c r="H23" s="15" t="n">
        <f aca="false">H22+B23*B7*F23</f>
        <v>1.5</v>
      </c>
      <c r="I23" s="15" t="n">
        <f aca="false">I22+B23*C7*E23</f>
        <v>1</v>
      </c>
      <c r="J23" s="15" t="n">
        <f aca="false">J22+B23*C7*F23</f>
        <v>-0.5</v>
      </c>
    </row>
    <row r="25" customFormat="false" ht="15" hidden="false" customHeight="true" outlineLevel="0" collapsed="false">
      <c r="A25" s="11" t="s">
        <v>54</v>
      </c>
      <c r="B25" s="11" t="s">
        <v>34</v>
      </c>
      <c r="C25" s="11" t="s">
        <v>35</v>
      </c>
    </row>
    <row r="26" customFormat="false" ht="15" hidden="false" customHeight="true" outlineLevel="0" collapsed="false">
      <c r="A26" s="14" t="s">
        <v>36</v>
      </c>
      <c r="B26" s="15" t="n">
        <f aca="false">G23</f>
        <v>-1</v>
      </c>
      <c r="C26" s="15" t="n">
        <f aca="false">H23</f>
        <v>1.5</v>
      </c>
    </row>
    <row r="27" customFormat="false" ht="15" hidden="false" customHeight="true" outlineLevel="0" collapsed="false">
      <c r="A27" s="14" t="s">
        <v>37</v>
      </c>
      <c r="B27" s="15" t="n">
        <f aca="false">I23</f>
        <v>1</v>
      </c>
      <c r="C27" s="15" t="n">
        <f aca="false">J23</f>
        <v>-0.5</v>
      </c>
    </row>
    <row r="28" customFormat="false" ht="15" hidden="false" customHeight="true" outlineLevel="0" collapsed="false">
      <c r="A28" s="12" t="s">
        <v>55</v>
      </c>
      <c r="B28" s="16" t="n">
        <f aca="false">B7*B26+C7*B27</f>
        <v>0</v>
      </c>
      <c r="C28" s="16" t="n">
        <f aca="false">B7*C26+C7*C27</f>
        <v>1</v>
      </c>
    </row>
    <row r="29" customFormat="false" ht="15" hidden="false" customHeight="true" outlineLevel="0" collapsed="false">
      <c r="A29" s="14" t="s">
        <v>56</v>
      </c>
      <c r="B29" s="15" t="n">
        <f aca="false">B5*B26+C5*B27</f>
        <v>-1</v>
      </c>
      <c r="C29" s="15" t="n">
        <f aca="false">B5*C26+C5*C27</f>
        <v>1.5</v>
      </c>
    </row>
    <row r="31" customFormat="false" ht="15" hidden="false" customHeight="true" outlineLevel="0" collapsed="false">
      <c r="A31" s="1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0"/>
    <col collapsed="false" customWidth="true" hidden="false" outlineLevel="0" max="6" min="3" style="1" width="12"/>
    <col collapsed="false" customWidth="true" hidden="false" outlineLevel="0" max="8" min="7" style="1" width="10"/>
  </cols>
  <sheetData>
    <row r="1" customFormat="false" ht="15.75" hidden="false" customHeight="true" outlineLevel="0" collapsed="false">
      <c r="A1" s="10" t="s">
        <v>58</v>
      </c>
    </row>
    <row r="3" customFormat="false" ht="15" hidden="false" customHeight="true" outlineLevel="0" collapsed="false">
      <c r="A3" s="14" t="s">
        <v>59</v>
      </c>
      <c r="B3" s="13" t="n">
        <v>0.5</v>
      </c>
    </row>
    <row r="5" customFormat="false" ht="15" hidden="false" customHeight="true" outlineLevel="0" collapsed="false">
      <c r="A5" s="11" t="s">
        <v>43</v>
      </c>
      <c r="B5" s="11" t="s">
        <v>60</v>
      </c>
      <c r="C5" s="11" t="s">
        <v>61</v>
      </c>
      <c r="D5" s="11" t="s">
        <v>62</v>
      </c>
      <c r="E5" s="11" t="s">
        <v>63</v>
      </c>
      <c r="F5" s="11" t="s">
        <v>64</v>
      </c>
      <c r="G5" s="11" t="s">
        <v>65</v>
      </c>
      <c r="H5" s="11" t="s">
        <v>66</v>
      </c>
    </row>
    <row r="6" customFormat="false" ht="15" hidden="false" customHeight="true" outlineLevel="0" collapsed="false">
      <c r="A6" s="18" t="n">
        <v>1</v>
      </c>
      <c r="B6" s="13" t="n">
        <v>4</v>
      </c>
      <c r="C6" s="13" t="n">
        <v>2</v>
      </c>
      <c r="D6" s="19" t="n">
        <f aca="false">EXP(-C6)</f>
        <v>0.135335283236613</v>
      </c>
      <c r="E6" s="19" t="n">
        <f aca="false">1-D6</f>
        <v>0.864664716763387</v>
      </c>
      <c r="F6" s="20" t="n">
        <f aca="false">E6*B6</f>
        <v>3.45865886705355</v>
      </c>
      <c r="G6" s="19" t="n">
        <f aca="false">EXP(-$B$3)</f>
        <v>0.606530659712633</v>
      </c>
      <c r="H6" s="20" t="n">
        <f aca="false">(1-G6)*B6</f>
        <v>1.57387736114947</v>
      </c>
    </row>
    <row r="7" customFormat="false" ht="15" hidden="false" customHeight="true" outlineLevel="0" collapsed="false">
      <c r="A7" s="18" t="n">
        <v>2</v>
      </c>
      <c r="B7" s="13" t="n">
        <v>0.5</v>
      </c>
      <c r="C7" s="13" t="n">
        <v>0.05</v>
      </c>
      <c r="D7" s="19" t="n">
        <f aca="false">EXP(-C7)</f>
        <v>0.951229424500714</v>
      </c>
      <c r="E7" s="19" t="n">
        <f aca="false">1-D7</f>
        <v>0.048770575499286</v>
      </c>
      <c r="F7" s="20" t="n">
        <f aca="false">D7*F6+E7*B7</f>
        <v>3.31436337140128</v>
      </c>
      <c r="G7" s="19" t="n">
        <f aca="false">EXP(-$B$3)</f>
        <v>0.606530659712633</v>
      </c>
      <c r="H7" s="20" t="n">
        <f aca="false">G7*H6+(1-G7)*B7</f>
        <v>1.15133954430845</v>
      </c>
    </row>
    <row r="8" customFormat="false" ht="15" hidden="false" customHeight="true" outlineLevel="0" collapsed="false">
      <c r="A8" s="18" t="n">
        <v>3</v>
      </c>
      <c r="B8" s="13" t="n">
        <v>-0.3</v>
      </c>
      <c r="C8" s="13" t="n">
        <v>0.05</v>
      </c>
      <c r="D8" s="19" t="n">
        <f aca="false">EXP(-C8)</f>
        <v>0.951229424500714</v>
      </c>
      <c r="E8" s="19" t="n">
        <f aca="false">1-D8</f>
        <v>0.048770575499286</v>
      </c>
      <c r="F8" s="20" t="n">
        <f aca="false">D8*F7+E8*B8</f>
        <v>3.1380887897145</v>
      </c>
      <c r="G8" s="19" t="n">
        <f aca="false">EXP(-$B$3)</f>
        <v>0.606530659712633</v>
      </c>
      <c r="H8" s="20" t="n">
        <f aca="false">G8*H7+(1-G8)*B8</f>
        <v>0.580281931276436</v>
      </c>
    </row>
    <row r="9" customFormat="false" ht="15" hidden="false" customHeight="true" outlineLevel="0" collapsed="false">
      <c r="A9" s="18" t="n">
        <v>4</v>
      </c>
      <c r="B9" s="13" t="n">
        <v>0.2</v>
      </c>
      <c r="C9" s="13" t="n">
        <v>0.05</v>
      </c>
      <c r="D9" s="19" t="n">
        <f aca="false">EXP(-C9)</f>
        <v>0.951229424500714</v>
      </c>
      <c r="E9" s="19" t="n">
        <f aca="false">1-D9</f>
        <v>0.048770575499286</v>
      </c>
      <c r="F9" s="20" t="n">
        <f aca="false">D9*F8+E9*B9</f>
        <v>2.99479650857213</v>
      </c>
      <c r="G9" s="19" t="n">
        <f aca="false">EXP(-$B$3)</f>
        <v>0.606530659712633</v>
      </c>
      <c r="H9" s="20" t="n">
        <f aca="false">G9*H8+(1-G9)*B9</f>
        <v>0.430652650653891</v>
      </c>
    </row>
    <row r="10" customFormat="false" ht="15" hidden="false" customHeight="true" outlineLevel="0" collapsed="false">
      <c r="A10" s="18" t="n">
        <v>5</v>
      </c>
      <c r="B10" s="13" t="n">
        <v>0.1</v>
      </c>
      <c r="C10" s="13" t="n">
        <v>0.05</v>
      </c>
      <c r="D10" s="19" t="n">
        <f aca="false">EXP(-C10)</f>
        <v>0.951229424500714</v>
      </c>
      <c r="E10" s="19" t="n">
        <f aca="false">1-D10</f>
        <v>0.048770575499286</v>
      </c>
      <c r="F10" s="20" t="n">
        <f aca="false">D10*F9+E10*B10</f>
        <v>2.85361561689574</v>
      </c>
      <c r="G10" s="19" t="n">
        <f aca="false">EXP(-$B$3)</f>
        <v>0.606530659712633</v>
      </c>
      <c r="H10" s="20" t="n">
        <f aca="false">G10*H9+(1-G10)*B10</f>
        <v>0.300550970336835</v>
      </c>
    </row>
    <row r="11" customFormat="false" ht="15" hidden="false" customHeight="true" outlineLevel="0" collapsed="false">
      <c r="A11" s="18" t="n">
        <v>6</v>
      </c>
      <c r="B11" s="13" t="n">
        <v>-0.2</v>
      </c>
      <c r="C11" s="13" t="n">
        <v>0.05</v>
      </c>
      <c r="D11" s="19" t="n">
        <f aca="false">EXP(-C11)</f>
        <v>0.951229424500714</v>
      </c>
      <c r="E11" s="19" t="n">
        <f aca="false">1-D11</f>
        <v>0.048770575499286</v>
      </c>
      <c r="F11" s="20" t="n">
        <f aca="false">D11*F10+E11*B11</f>
        <v>2.70468902590613</v>
      </c>
      <c r="G11" s="19" t="n">
        <f aca="false">EXP(-$B$3)</f>
        <v>0.606530659712633</v>
      </c>
      <c r="H11" s="20" t="n">
        <f aca="false">G11*H10+(1-G11)*B11</f>
        <v>0.1035995102582</v>
      </c>
    </row>
    <row r="13" customFormat="false" ht="15" hidden="false" customHeight="true" outlineLevel="0" collapsed="false">
      <c r="A13" s="14" t="s">
        <v>67</v>
      </c>
      <c r="F13" s="21" t="n">
        <f aca="false">F9/B6</f>
        <v>0.748699127143031</v>
      </c>
      <c r="H13" s="21" t="n">
        <f aca="false">H9/B6</f>
        <v>0.107663162663473</v>
      </c>
    </row>
    <row r="15" customFormat="false" ht="15" hidden="false" customHeight="true" outlineLevel="0" collapsed="false">
      <c r="A15" s="17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2"/>
    <col collapsed="false" customWidth="true" hidden="false" outlineLevel="0" max="9" min="2" style="1" width="14"/>
  </cols>
  <sheetData>
    <row r="1" customFormat="false" ht="15.75" hidden="false" customHeight="true" outlineLevel="0" collapsed="false">
      <c r="A1" s="10" t="s">
        <v>69</v>
      </c>
    </row>
    <row r="3" customFormat="false" ht="15" hidden="false" customHeight="true" outlineLevel="0" collapsed="false">
      <c r="A3" s="14" t="s">
        <v>70</v>
      </c>
      <c r="B3" s="22" t="n">
        <v>262144</v>
      </c>
    </row>
    <row r="4" customFormat="false" ht="15" hidden="false" customHeight="true" outlineLevel="0" collapsed="false">
      <c r="A4" s="14" t="s">
        <v>71</v>
      </c>
      <c r="B4" s="23" t="n">
        <v>2</v>
      </c>
    </row>
    <row r="6" customFormat="false" ht="43.5" hidden="false" customHeight="true" outlineLevel="0" collapsed="false">
      <c r="A6" s="11" t="s">
        <v>72</v>
      </c>
      <c r="B6" s="11" t="s">
        <v>73</v>
      </c>
      <c r="C6" s="11" t="s">
        <v>74</v>
      </c>
      <c r="D6" s="11" t="s">
        <v>75</v>
      </c>
      <c r="E6" s="11" t="s">
        <v>76</v>
      </c>
      <c r="F6" s="11" t="s">
        <v>77</v>
      </c>
      <c r="G6" s="11" t="s">
        <v>78</v>
      </c>
      <c r="H6" s="11" t="s">
        <v>79</v>
      </c>
      <c r="I6" s="11" t="s">
        <v>80</v>
      </c>
    </row>
    <row r="7" customFormat="false" ht="15" hidden="false" customHeight="true" outlineLevel="0" collapsed="false">
      <c r="A7" s="24" t="s">
        <v>81</v>
      </c>
      <c r="B7" s="22" t="n">
        <v>32</v>
      </c>
      <c r="C7" s="22" t="n">
        <v>32</v>
      </c>
      <c r="D7" s="22" t="n">
        <v>80</v>
      </c>
      <c r="E7" s="22" t="n">
        <v>0</v>
      </c>
      <c r="F7" s="22" t="n">
        <v>0</v>
      </c>
      <c r="G7" s="25" t="n">
        <f aca="false">2*B7*C7*D7*$B$4</f>
        <v>327680</v>
      </c>
      <c r="H7" s="26" t="n">
        <f aca="false">E7*F7*$B$4/1000000</f>
        <v>0</v>
      </c>
      <c r="I7" s="27" t="n">
        <f aca="false">(G7*$B$3+H7*1000000)/1000000000</f>
        <v>85.89934592</v>
      </c>
    </row>
    <row r="8" customFormat="false" ht="15" hidden="false" customHeight="true" outlineLevel="0" collapsed="false">
      <c r="A8" s="24" t="s">
        <v>82</v>
      </c>
      <c r="B8" s="22" t="n">
        <v>64</v>
      </c>
      <c r="C8" s="22" t="n">
        <v>8</v>
      </c>
      <c r="D8" s="22" t="n">
        <v>128</v>
      </c>
      <c r="E8" s="22" t="n">
        <v>0</v>
      </c>
      <c r="F8" s="22" t="n">
        <v>0</v>
      </c>
      <c r="G8" s="25" t="n">
        <f aca="false">2*B8*C8*D8*$B$4</f>
        <v>262144</v>
      </c>
      <c r="H8" s="26" t="n">
        <f aca="false">E8*F8*$B$4/1000000</f>
        <v>0</v>
      </c>
      <c r="I8" s="27" t="n">
        <f aca="false">(G8*$B$3+H8*1000000)/1000000000</f>
        <v>68.719476736</v>
      </c>
    </row>
    <row r="9" customFormat="false" ht="15" hidden="false" customHeight="true" outlineLevel="0" collapsed="false">
      <c r="A9" s="24" t="s">
        <v>83</v>
      </c>
      <c r="B9" s="22" t="n">
        <v>12</v>
      </c>
      <c r="C9" s="22" t="n">
        <v>2</v>
      </c>
      <c r="D9" s="22" t="n">
        <v>256</v>
      </c>
      <c r="E9" s="22" t="n">
        <v>36</v>
      </c>
      <c r="F9" s="22" t="n">
        <v>524288</v>
      </c>
      <c r="G9" s="25" t="n">
        <f aca="false">2*B9*C9*D9*$B$4</f>
        <v>24576</v>
      </c>
      <c r="H9" s="26" t="n">
        <f aca="false">E9*F9*$B$4/1000000</f>
        <v>37.748736</v>
      </c>
      <c r="I9" s="27" t="n">
        <f aca="false">(G9*$B$3+H9*1000000)/1000000000</f>
        <v>6.48019968</v>
      </c>
    </row>
    <row r="10" customFormat="false" ht="15" hidden="false" customHeight="true" outlineLevel="0" collapsed="false">
      <c r="A10" s="24" t="s">
        <v>84</v>
      </c>
      <c r="B10" s="22" t="n">
        <v>0</v>
      </c>
      <c r="C10" s="22" t="n">
        <v>0</v>
      </c>
      <c r="D10" s="22" t="n">
        <v>0</v>
      </c>
      <c r="E10" s="22" t="n">
        <v>64</v>
      </c>
      <c r="F10" s="22" t="n">
        <v>97280</v>
      </c>
      <c r="G10" s="25" t="n">
        <f aca="false">2*B10*C10*D10*$B$4</f>
        <v>0</v>
      </c>
      <c r="H10" s="26" t="n">
        <f aca="false">E10*F10*$B$4/1000000</f>
        <v>12.45184</v>
      </c>
      <c r="I10" s="27" t="n">
        <f aca="false">(G10*$B$3+H10*1000000)/1000000000</f>
        <v>0.01245184</v>
      </c>
    </row>
    <row r="12" customFormat="false" ht="15" hidden="false" customHeight="true" outlineLevel="0" collapsed="false">
      <c r="A12" s="14" t="s">
        <v>85</v>
      </c>
      <c r="I12" s="28" t="n">
        <f aca="false">H10*1000000/G7</f>
        <v>38</v>
      </c>
    </row>
    <row r="14" customFormat="false" ht="27" hidden="false" customHeight="true" outlineLevel="0" collapsed="false">
      <c r="A14" s="11" t="s">
        <v>86</v>
      </c>
      <c r="B14" s="11" t="s">
        <v>87</v>
      </c>
    </row>
    <row r="15" customFormat="false" ht="15" hidden="false" customHeight="true" outlineLevel="0" collapsed="false">
      <c r="A15" s="14" t="s">
        <v>70</v>
      </c>
      <c r="B15" s="22" t="n">
        <v>32768</v>
      </c>
    </row>
    <row r="16" customFormat="false" ht="15" hidden="false" customHeight="true" outlineLevel="0" collapsed="false">
      <c r="A16" s="14" t="s">
        <v>88</v>
      </c>
      <c r="B16" s="26" t="n">
        <f aca="false">G7*B15/1000000000</f>
        <v>10.73741824</v>
      </c>
    </row>
    <row r="17" customFormat="false" ht="15" hidden="false" customHeight="true" outlineLevel="0" collapsed="false">
      <c r="A17" s="14" t="s">
        <v>89</v>
      </c>
      <c r="B17" s="26" t="n">
        <f aca="false">H10</f>
        <v>12.45184</v>
      </c>
    </row>
    <row r="18" customFormat="false" ht="15" hidden="false" customHeight="true" outlineLevel="0" collapsed="false">
      <c r="A18" s="12" t="s">
        <v>90</v>
      </c>
      <c r="B18" s="28" t="n">
        <f aca="false">B16*1000/B17</f>
        <v>862.315789473684</v>
      </c>
    </row>
    <row r="19" customFormat="false" ht="15" hidden="false" customHeight="true" outlineLevel="0" collapsed="false">
      <c r="A19" s="14" t="s">
        <v>91</v>
      </c>
      <c r="B19" s="26" t="n">
        <f aca="false">E10*F10/1000000</f>
        <v>6.22592</v>
      </c>
    </row>
    <row r="21" customFormat="false" ht="27" hidden="false" customHeight="true" outlineLevel="0" collapsed="false">
      <c r="A21" s="11" t="s">
        <v>92</v>
      </c>
      <c r="B21" s="11" t="s">
        <v>87</v>
      </c>
    </row>
    <row r="22" customFormat="false" ht="15" hidden="false" customHeight="true" outlineLevel="0" collapsed="false">
      <c r="A22" s="14" t="s">
        <v>93</v>
      </c>
      <c r="B22" s="29" t="n">
        <f aca="false">G9*B3/1000000000</f>
        <v>6.442450944</v>
      </c>
    </row>
    <row r="23" customFormat="false" ht="15" hidden="false" customHeight="true" outlineLevel="0" collapsed="false">
      <c r="A23" s="14" t="s">
        <v>94</v>
      </c>
      <c r="B23" s="26" t="n">
        <f aca="false">H9</f>
        <v>37.748736</v>
      </c>
    </row>
    <row r="24" customFormat="false" ht="15" hidden="false" customHeight="true" outlineLevel="0" collapsed="false">
      <c r="A24" s="14" t="s">
        <v>95</v>
      </c>
      <c r="B24" s="29" t="n">
        <f aca="false">I9</f>
        <v>6.48019968</v>
      </c>
    </row>
    <row r="25" customFormat="false" ht="15" hidden="false" customHeight="true" outlineLevel="0" collapsed="false">
      <c r="A25" s="14" t="s">
        <v>96</v>
      </c>
      <c r="B25" s="26" t="n">
        <f aca="false">I8</f>
        <v>68.719476736</v>
      </c>
    </row>
    <row r="26" customFormat="false" ht="15" hidden="false" customHeight="true" outlineLevel="0" collapsed="false">
      <c r="A26" s="12" t="s">
        <v>97</v>
      </c>
      <c r="B26" s="30" t="n">
        <f aca="false">I8/I9</f>
        <v>10.6045307443366</v>
      </c>
    </row>
    <row r="28" customFormat="false" ht="27" hidden="false" customHeight="true" outlineLevel="0" collapsed="false">
      <c r="A28" s="11" t="s">
        <v>98</v>
      </c>
      <c r="B28" s="11" t="s">
        <v>87</v>
      </c>
    </row>
    <row r="29" customFormat="false" ht="15" hidden="false" customHeight="true" outlineLevel="0" collapsed="false">
      <c r="A29" s="14" t="s">
        <v>99</v>
      </c>
      <c r="B29" s="22" t="n">
        <v>128</v>
      </c>
    </row>
    <row r="30" customFormat="false" ht="15" hidden="false" customHeight="true" outlineLevel="0" collapsed="false">
      <c r="A30" s="14" t="s">
        <v>100</v>
      </c>
      <c r="B30" s="31" t="n">
        <v>4.5</v>
      </c>
    </row>
    <row r="31" customFormat="false" ht="15" hidden="false" customHeight="true" outlineLevel="0" collapsed="false">
      <c r="A31" s="14" t="s">
        <v>101</v>
      </c>
      <c r="B31" s="32" t="n">
        <v>80</v>
      </c>
    </row>
    <row r="32" customFormat="false" ht="15" hidden="false" customHeight="true" outlineLevel="0" collapsed="false">
      <c r="A32" s="14" t="s">
        <v>102</v>
      </c>
      <c r="B32" s="32" t="n">
        <v>32.8</v>
      </c>
    </row>
    <row r="33" customFormat="false" ht="15" hidden="false" customHeight="true" outlineLevel="0" collapsed="false">
      <c r="A33" s="14" t="s">
        <v>103</v>
      </c>
      <c r="B33" s="26" t="n">
        <f aca="false">B31*B30/8</f>
        <v>45</v>
      </c>
    </row>
    <row r="34" customFormat="false" ht="15" hidden="false" customHeight="true" outlineLevel="0" collapsed="false">
      <c r="A34" s="12" t="s">
        <v>104</v>
      </c>
      <c r="B34" s="28" t="n">
        <f aca="false">INT((B29-B33)/I9)</f>
        <v>12</v>
      </c>
    </row>
    <row r="35" customFormat="false" ht="15" hidden="false" customHeight="true" outlineLevel="0" collapsed="false">
      <c r="A35" s="14" t="s">
        <v>105</v>
      </c>
      <c r="B35" s="26" t="n">
        <f aca="false">B32*B30/8</f>
        <v>18.45</v>
      </c>
    </row>
    <row r="36" customFormat="false" ht="15" hidden="false" customHeight="true" outlineLevel="0" collapsed="false">
      <c r="A36" s="12" t="s">
        <v>106</v>
      </c>
      <c r="B36" s="28" t="n">
        <f aca="false">INT((B29-B35)/I8)</f>
        <v>1</v>
      </c>
    </row>
    <row r="38" customFormat="false" ht="15" hidden="false" customHeight="true" outlineLevel="0" collapsed="false">
      <c r="A38" s="17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0"/>
  </cols>
  <sheetData>
    <row r="1" customFormat="false" ht="15.75" hidden="false" customHeight="true" outlineLevel="0" collapsed="false">
      <c r="A1" s="10" t="s">
        <v>108</v>
      </c>
    </row>
    <row r="3" customFormat="false" ht="15" hidden="false" customHeight="true" outlineLevel="0" collapsed="false">
      <c r="A3" s="14" t="s">
        <v>109</v>
      </c>
      <c r="B3" s="31" t="n">
        <v>8</v>
      </c>
    </row>
    <row r="4" customFormat="false" ht="15" hidden="false" customHeight="true" outlineLevel="0" collapsed="false">
      <c r="A4" s="14" t="s">
        <v>110</v>
      </c>
      <c r="B4" s="13" t="n">
        <v>2</v>
      </c>
    </row>
    <row r="5" customFormat="false" ht="15" hidden="false" customHeight="true" outlineLevel="0" collapsed="false">
      <c r="A5" s="14" t="s">
        <v>111</v>
      </c>
      <c r="B5" s="22" t="n">
        <v>256</v>
      </c>
    </row>
    <row r="6" customFormat="false" ht="15" hidden="false" customHeight="true" outlineLevel="0" collapsed="false">
      <c r="A6" s="14" t="s">
        <v>112</v>
      </c>
      <c r="B6" s="22" t="n">
        <v>64</v>
      </c>
    </row>
    <row r="7" customFormat="false" ht="15" hidden="false" customHeight="true" outlineLevel="0" collapsed="false">
      <c r="A7" s="14" t="s">
        <v>113</v>
      </c>
      <c r="B7" s="22" t="n">
        <v>1000</v>
      </c>
    </row>
    <row r="8" customFormat="false" ht="15" hidden="false" customHeight="true" outlineLevel="0" collapsed="false">
      <c r="A8" s="14" t="s">
        <v>114</v>
      </c>
      <c r="B8" s="22" t="n">
        <v>200</v>
      </c>
    </row>
    <row r="9" customFormat="false" ht="15" hidden="false" customHeight="true" outlineLevel="0" collapsed="false">
      <c r="A9" s="14" t="s">
        <v>115</v>
      </c>
      <c r="B9" s="22" t="n">
        <v>64</v>
      </c>
    </row>
    <row r="11" customFormat="false" ht="23.25" hidden="false" customHeight="true" outlineLevel="0" collapsed="false">
      <c r="A11" s="11" t="s">
        <v>116</v>
      </c>
      <c r="B11" s="11" t="s">
        <v>117</v>
      </c>
      <c r="C11" s="11" t="s">
        <v>118</v>
      </c>
      <c r="D11" s="11" t="s">
        <v>119</v>
      </c>
    </row>
    <row r="12" customFormat="false" ht="15" hidden="false" customHeight="true" outlineLevel="0" collapsed="false">
      <c r="A12" s="14" t="s">
        <v>120</v>
      </c>
      <c r="B12" s="26" t="n">
        <f aca="false">B3*B4/B7*1000</f>
        <v>16</v>
      </c>
      <c r="C12" s="26" t="n">
        <f aca="false">B3*B4/B7*1000</f>
        <v>16</v>
      </c>
      <c r="D12" s="26" t="n">
        <f aca="false">B3*B4/B7*1000</f>
        <v>16</v>
      </c>
    </row>
    <row r="13" customFormat="false" ht="15" hidden="false" customHeight="true" outlineLevel="0" collapsed="false">
      <c r="A13" s="14" t="s">
        <v>121</v>
      </c>
      <c r="B13" s="26" t="n">
        <f aca="false">2*B3*1000000000/(B8*1000000000000)*1000</f>
        <v>0.08</v>
      </c>
      <c r="C13" s="26" t="n">
        <f aca="false">2*B3*1000000000*B5/(B8*1000000000000)*1000</f>
        <v>20.48</v>
      </c>
      <c r="D13" s="26" t="n">
        <f aca="false">2*B3*1000000000*B9/(B8*1000000000000)*1000</f>
        <v>5.12</v>
      </c>
    </row>
    <row r="14" customFormat="false" ht="15" hidden="false" customHeight="true" outlineLevel="0" collapsed="false">
      <c r="A14" s="14" t="s">
        <v>122</v>
      </c>
      <c r="B14" s="26" t="n">
        <f aca="false">MAX(B12,B13)</f>
        <v>16</v>
      </c>
      <c r="C14" s="26" t="n">
        <f aca="false">MAX(C12,C13)</f>
        <v>20.48</v>
      </c>
      <c r="D14" s="26" t="n">
        <f aca="false">MAX(D12,D13)</f>
        <v>16</v>
      </c>
    </row>
    <row r="15" customFormat="false" ht="15" hidden="false" customHeight="true" outlineLevel="0" collapsed="false">
      <c r="A15" s="14" t="s">
        <v>123</v>
      </c>
      <c r="B15" s="26" t="n">
        <f aca="false">B5</f>
        <v>256</v>
      </c>
      <c r="C15" s="26" t="n">
        <f aca="false">B6</f>
        <v>64</v>
      </c>
      <c r="D15" s="26" t="n">
        <f aca="false">B5</f>
        <v>256</v>
      </c>
    </row>
    <row r="16" customFormat="false" ht="15" hidden="false" customHeight="true" outlineLevel="0" collapsed="false">
      <c r="A16" s="14" t="s">
        <v>124</v>
      </c>
      <c r="B16" s="26" t="n">
        <f aca="false">B14*B15/1000</f>
        <v>4.096</v>
      </c>
      <c r="C16" s="26" t="n">
        <f aca="false">C14*C15/1000</f>
        <v>1.31072</v>
      </c>
      <c r="D16" s="26" t="n">
        <f aca="false">D14*D15/1000</f>
        <v>4.096</v>
      </c>
    </row>
    <row r="17" customFormat="false" ht="15" hidden="false" customHeight="true" outlineLevel="0" collapsed="false">
      <c r="A17" s="12" t="s">
        <v>125</v>
      </c>
      <c r="B17" s="33" t="n">
        <f aca="false">B5/B16</f>
        <v>62.5</v>
      </c>
      <c r="C17" s="33" t="n">
        <f aca="false">B5/C16</f>
        <v>195.3125</v>
      </c>
      <c r="D17" s="33" t="n">
        <f aca="false">B5*B9/D16</f>
        <v>4000</v>
      </c>
    </row>
    <row r="18" customFormat="false" ht="15" hidden="false" customHeight="true" outlineLevel="0" collapsed="false">
      <c r="A18" s="14" t="s">
        <v>126</v>
      </c>
      <c r="B18" s="26" t="n">
        <f aca="false">2*B3*1000000000*B5/1000000000000</f>
        <v>4.096</v>
      </c>
      <c r="C18" s="26" t="n">
        <f aca="false">2*B3*1000000000*B5*B6/1000000000000</f>
        <v>262.144</v>
      </c>
      <c r="D18" s="26" t="n">
        <f aca="false">2*B3*1000000000*B5*B9/1000000000000</f>
        <v>262.144</v>
      </c>
    </row>
    <row r="19" customFormat="false" ht="15" hidden="false" customHeight="true" outlineLevel="0" collapsed="false">
      <c r="A19" s="14" t="s">
        <v>127</v>
      </c>
      <c r="B19" s="25" t="n">
        <f aca="false">B5/B15</f>
        <v>1</v>
      </c>
      <c r="C19" s="25" t="n">
        <f aca="false">B5/C15</f>
        <v>4</v>
      </c>
      <c r="D19" s="25" t="n">
        <f aca="false">B5*B9/D15</f>
        <v>64</v>
      </c>
    </row>
    <row r="20" customFormat="false" ht="15" hidden="false" customHeight="true" outlineLevel="0" collapsed="false">
      <c r="A20" s="14" t="s">
        <v>128</v>
      </c>
      <c r="B20" s="34" t="n">
        <f aca="false">B13*$B$8/1000</f>
        <v>0.016</v>
      </c>
      <c r="C20" s="34" t="n">
        <f aca="false">C13*$B$8/1000</f>
        <v>4.096</v>
      </c>
      <c r="D20" s="34" t="n">
        <f aca="false">D13*$B$8/1000</f>
        <v>1.024</v>
      </c>
    </row>
    <row r="21" customFormat="false" ht="15" hidden="false" customHeight="true" outlineLevel="0" collapsed="false">
      <c r="A21" s="12" t="s">
        <v>129</v>
      </c>
      <c r="B21" s="33" t="n">
        <f aca="false">B17/$B$17</f>
        <v>1</v>
      </c>
      <c r="C21" s="33" t="n">
        <f aca="false">C17/$B$17</f>
        <v>3.125</v>
      </c>
      <c r="D21" s="33" t="n">
        <f aca="false">D17/$B$17</f>
        <v>64</v>
      </c>
    </row>
    <row r="22" customFormat="false" ht="15" hidden="false" customHeight="true" outlineLevel="0" collapsed="false">
      <c r="A22" s="14" t="s">
        <v>130</v>
      </c>
      <c r="B22" s="26" t="n">
        <f aca="false">(B18/B5)/($B$18/$B$5)</f>
        <v>1</v>
      </c>
      <c r="C22" s="26" t="n">
        <f aca="false">(C18/B5)/($B$18/$B$5)</f>
        <v>64</v>
      </c>
      <c r="D22" s="26" t="n">
        <f aca="false">(D18/(B5*B9))/($B$18/$B$5)</f>
        <v>1</v>
      </c>
    </row>
    <row r="23" customFormat="false" ht="15" hidden="false" customHeight="true" outlineLevel="0" collapsed="false">
      <c r="A23" s="12" t="s">
        <v>131</v>
      </c>
      <c r="B23" s="35" t="n">
        <f aca="false">B13/B14</f>
        <v>0.005</v>
      </c>
      <c r="C23" s="35" t="n">
        <f aca="false">C13/C14</f>
        <v>1</v>
      </c>
      <c r="D23" s="35" t="n">
        <f aca="false">D13/D14</f>
        <v>0.32</v>
      </c>
    </row>
    <row r="25" customFormat="false" ht="15" hidden="false" customHeight="true" outlineLevel="0" collapsed="false">
      <c r="A25" s="17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2026-10-01T22:39:50Z</dcterms:created>
  <dc:creator>Leonhard Korowajczuk</dc:creator>
  <dc:description/>
  <dc:language>en-US</dc:language>
  <cp:lastModifiedBy>Leonhard Korowajczuk</cp:lastModifiedBy>
  <dcterms:modified xsi:type="dcterms:W3CDTF">2026-10-20T17:46:35Z</dcterms:modified>
  <cp:revision>0</cp:revision>
  <dc:subject/>
  <dc:title>Beyond Attention: State-Space Models, Hybrids and Alternatives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