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ttention by Hand" sheetId="2" state="visible" r:id="rId4"/>
    <sheet name="Scaling" sheetId="3" state="visible" r:id="rId5"/>
    <sheet name="RoPE" sheetId="4" state="visible" r:id="rId6"/>
    <sheet name="Attention Cost" sheetId="5" state="visible" r:id="rId7"/>
    <sheet name="KV Cache" sheetId="6" state="visible" r:id="rId8"/>
    <sheet name="Forward Pass" sheetId="7" state="visible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<sst xmlns="http://schemas.openxmlformats.org/spreadsheetml/2006/main" count="172" uniqueCount="171">
  <si>
    <t xml:space="preserve">Chapter 4 — The Transformer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</si>
  <si>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</si>
  <si>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</si>
  <si>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</si>
  <si>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</si>
  <si>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Attention by Hand</t>
  </si>
  <si>
    <t xml:space="preserve">One query against three keys and values, with d_k, the sum of the exponentials and the output.</t>
  </si>
  <si>
    <t xml:space="preserve">Section 4.2.1, Worked Example 4.1</t>
  </si>
  <si>
    <t xml:space="preserve">Scaling</t>
  </si>
  <si>
    <t xml:space="preserve">Why scores are divided by √d_k.</t>
  </si>
  <si>
    <t xml:space="preserve">Section 4.2.2</t>
  </si>
  <si>
    <t xml:space="preserve">RoPE</t>
  </si>
  <si>
    <t xml:space="preserve">Rotation angles and scores for any two positions, and the period after which one pair comes full circle.</t>
  </si>
  <si>
    <t xml:space="preserve">Section 4.4, Worked Example 4.2</t>
  </si>
  <si>
    <t xml:space="preserve">Attention Cost</t>
  </si>
  <si>
    <t xml:space="preserve">Attention's share of per-token compute, averaged over a sequence and at the last position, and naive score-matrix memory.</t>
  </si>
  <si>
    <t xml:space="preserve">Section 4.7, Figure 4.6</t>
  </si>
  <si>
    <t xml:space="preserve">KV Cache</t>
  </si>
  <si>
    <t xml:space="preserve">Key–value cache per token and per sequence for Llama 2 7B, Llama 3 and 3.1 8B, Llama 3.1 405B or any model, against the weights and for concurrent users.</t>
  </si>
  <si>
    <t xml:space="preserve">Section 4.6.3, Worked Example 4.3</t>
  </si>
  <si>
    <t xml:space="preserve">Forward Pass</t>
  </si>
  <si>
    <t xml:space="preserve">Parameters, FLOPs, KV cache and decode speed of a decoder from its config.json values (head_dim included), on an H100 and on the minimum and recommended Boxes.</t>
  </si>
  <si>
    <t xml:space="preserve">Section 4.8, Tables 4.2–4.3, Worked Example 4.4</t>
  </si>
  <si>
    <t xml:space="preserve">Notes</t>
  </si>
  <si>
    <t xml:space="preserve">Units are decimal: 1 MB = 10^6 bytes, 1 GB = 10^9 bytes. Notation follows Table P.2 (d, L, h, h_kv, d_k, d_ff, n_vocab, q, BW).</t>
  </si>
  <si>
    <t xml:space="preserve">Scaled Dot-Product Attention for One Query (Worked Example 4.1)</t>
  </si>
  <si>
    <t xml:space="preserve">Vector</t>
  </si>
  <si>
    <t xml:space="preserve">dim 1</t>
  </si>
  <si>
    <t xml:space="preserve">dim 2</t>
  </si>
  <si>
    <t xml:space="preserve">dim 3</t>
  </si>
  <si>
    <t xml:space="preserve">dim 4</t>
  </si>
  <si>
    <t xml:space="preserve">d_k</t>
  </si>
  <si>
    <t xml:space="preserve">√d_k</t>
  </si>
  <si>
    <t xml:space="preserve">query q</t>
  </si>
  <si>
    <t xml:space="preserve">Key / token</t>
  </si>
  <si>
    <t xml:space="preserve">k1</t>
  </si>
  <si>
    <t xml:space="preserve">k2</t>
  </si>
  <si>
    <t xml:space="preserve">k3</t>
  </si>
  <si>
    <t xml:space="preserve">k4</t>
  </si>
  <si>
    <t xml:space="preserve">q·k</t>
  </si>
  <si>
    <t xml:space="preserve">scaled</t>
  </si>
  <si>
    <t xml:space="preserve">exp</t>
  </si>
  <si>
    <t xml:space="preserve">weight</t>
  </si>
  <si>
    <t xml:space="preserve">v1</t>
  </si>
  <si>
    <t xml:space="preserve">v2</t>
  </si>
  <si>
    <t xml:space="preserve">the</t>
  </si>
  <si>
    <t xml:space="preserve">antenna</t>
  </si>
  <si>
    <t xml:space="preserve">tower</t>
  </si>
  <si>
    <t xml:space="preserve">Sum</t>
  </si>
  <si>
    <t xml:space="preserve">Output for the query</t>
  </si>
  <si>
    <t xml:space="preserve">Defaults reproduce Worked Example 4.1: scores 0, 2 and 1; scaled 0, 1.0 and 0.5; sum of exponentials 5.367; weights 0.186, 0.506 and 0.307; output (0.568, 0.283).</t>
  </si>
  <si>
    <t xml:space="preserve">Why Scale the Scores by √d_k (Section 4.2.2)</t>
  </si>
  <si>
    <t xml:space="preserve">Key dimension d_k</t>
  </si>
  <si>
    <t xml:space="preserve">Std. deviation of raw scores = √d_k</t>
  </si>
  <si>
    <t xml:space="preserve">Weight ratio for a one-std score gap, unscaled</t>
  </si>
  <si>
    <t xml:space="preserve">Weight ratio for a one-std score gap, scaled</t>
  </si>
  <si>
    <t xml:space="preserve">Unscaled, attention collapses onto one token; scaled, it can blend several. Appendix A.7 shows why the spread of dot products grows as √d_k.</t>
  </si>
  <si>
    <t xml:space="preserve">Rotary Position Embedding: Score Depends on Distance (Worked Example 4.2)</t>
  </si>
  <si>
    <t xml:space="preserve">Rotation per position (rad)</t>
  </si>
  <si>
    <t xml:space="preserve">Case</t>
  </si>
  <si>
    <t xml:space="preserve">Query position</t>
  </si>
  <si>
    <t xml:space="preserve">Key position</t>
  </si>
  <si>
    <t xml:space="preserve">Query angle</t>
  </si>
  <si>
    <t xml:space="preserve">Key angle</t>
  </si>
  <si>
    <t xml:space="preserve">Score cos(Δ)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</si>
  <si>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</si>
  <si>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</si>
  <si>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</si>
  <si>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</si>
  <si>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</si>
  <si>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Positions for one full turn = 2π ÷ rotation</t>
  </si>
  <si>
    <t xml:space="preserve">Cases 1–3 are those of Worked Example 4.2 (0.980, 0.980, 0.540); case 5, a distance of 63, comes almost full circle and scores like a distance of 0. Real models use 64 pairs per 128-dimensional head, from 1 rad per position down to a rate set by the RoPE base (10,000 in Llama 2, 500,000 in Llama 3; Section 6.6.1).</t>
  </si>
  <si>
    <t xml:space="preserve">Attention Share of Per-Token Compute (causal, per layer; Section 4.7, Figure 4.6)</t>
  </si>
  <si>
    <t xml:space="preserve">Model dimension d</t>
  </si>
  <si>
    <t xml:space="preserve">Feed-forward size d_ff (SwiGLU)</t>
  </si>
  <si>
    <t xml:space="preserve">Heads h</t>
  </si>
  <si>
    <t xml:space="preserve">Bytes per score (BF16 = 2)</t>
  </si>
  <si>
    <t xml:space="preserve">Context n</t>
  </si>
  <si>
    <t xml:space="preserve">Projections 8d²</t>
  </si>
  <si>
    <t xml:space="preserve">Feed-forward 6·d·d_ff</t>
  </si>
  <si>
    <t xml:space="preserve">Attention, average over sequence 2·n·d</t>
  </si>
  <si>
    <t xml:space="preserve">Share (average)</t>
  </si>
  <si>
    <t xml:space="preserve">Attention at position n 4·n·d</t>
  </si>
  <si>
    <t xml:space="preserve">Share (token at position n)</t>
  </si>
  <si>
    <t xml:space="preserve">Naive score matrix per layer (GB)</t>
  </si>
  <si>
    <t xml:space="preserve">The token at position i attends to i keys and i values (4·i·d FLOPs); averaged over a causal sequence of length n, i ≈ n/2 (2·n·d).</t>
  </si>
  <si>
    <t xml:space="preserve">With Llama 2 7B dimensions (the defaults): about 8% at 4,096 tokens, 40% at 32,768 and 73% at 131,072 averaged over the sequence, 84% for the token at position 131,072; the naive score matrix of 32 heads at 32,768 tokens ≈ 69 GB per layer (Section 4.7).</t>
  </si>
  <si>
    <t xml:space="preserve">Key–Value Cache Size (Section 4.6.3, Worked Example 4.3)</t>
  </si>
  <si>
    <t xml:space="preserve">Model</t>
  </si>
  <si>
    <t xml:space="preserve">Layers L</t>
  </si>
  <si>
    <t xml:space="preserve">KV heads h_kv</t>
  </si>
  <si>
    <t xml:space="preserve">Head dim d_k</t>
  </si>
  <si>
    <t xml:space="preserve">Bytes per value</t>
  </si>
  <si>
    <t xml:space="preserve">KV bytes per token</t>
  </si>
  <si>
    <t xml:space="preserve">4,096 tokens (GB)</t>
  </si>
  <si>
    <t xml:space="preserve">32,768 tokens (GB)</t>
  </si>
  <si>
    <t xml:space="preserve">128,000 tokens (GB)</t>
  </si>
  <si>
    <t xml:space="preserve">131,072 tokens (GB)</t>
  </si>
  <si>
    <t xml:space="preserve">Parameters (billions)</t>
  </si>
  <si>
    <t xml:space="preserve">Weights in BF16 (GB)</t>
  </si>
  <si>
    <t xml:space="preserve">Cache at 131,072 tokens ÷ weights</t>
  </si>
  <si>
    <t xml:space="preserve">Concurrent users</t>
  </si>
  <si>
    <t xml:space="preserve">Cache for the users at 32,768 tokens each (GB)</t>
  </si>
  <si>
    <t xml:space="preserve">Llama 2 7B (MHA)</t>
  </si>
  <si>
    <t xml:space="preserve">Llama 3 8B and 3.1 8B (GQA)</t>
  </si>
  <si>
    <t xml:space="preserve">Llama 3.1 405B (GQA)</t>
  </si>
  <si>
    <t xml:space="preserve">Your model</t>
  </si>
  <si>
    <t xml:space="preserve">KV bytes per token = 2 (K and V) × L × h_kv × d_k × bytes per value; with multi-head attention h_kv × d_k = d. Units are decimal (1 MB = 10^6 bytes, 1 GB = 10^9 bytes).</t>
  </si>
  <si>
    <t xml:space="preserve">Defaults reproduce Worked Example 4.3: Llama 2 7B, 0.52 MB per token, 2.1 GB at 4,096 tokens, 17.2 GB at 32,768 and ≈ 69 GB at 131,072, five times its 13.5 GB of weights; Llama 3 and 3.1 8B, 0.13 MB and 17.2 GB at 131,072;</t>
  </si>
  <si>
    <t xml:space="preserve">Llama 3.1 405B, 0.52 MB per token, ≈ 66 GB for a 128,000-token conversation and 67.6 GB for the full 131,072-token window; ten 32,768-token conversations on Llama 3.1 8B, ≈ 43 GB of cache against 16.1 GB of weights.</t>
  </si>
  <si>
    <t xml:space="preserve">One Forward Pass through a Decoder: Llama 3 8B by the Numbers (Section 4.8, Tables 4.2–4.3, Worked Example 4.4)</t>
  </si>
  <si>
    <t xml:space="preserve">Model dimension d (hidden_size)</t>
  </si>
  <si>
    <t xml:space="preserve">Layers L (num_hidden_layers)</t>
  </si>
  <si>
    <t xml:space="preserve">Query heads h (num_attention_heads)</t>
  </si>
  <si>
    <t xml:space="preserve">Key–value heads h_kv (num_key_value_heads)</t>
  </si>
  <si>
    <t xml:space="preserve">Head dimension d_k (head_dim; leave blank to use d ÷ h)</t>
  </si>
  <si>
    <t xml:space="preserve">Feed-forward size d_ff (intermediate_size)</t>
  </si>
  <si>
    <t xml:space="preserve">Vocabulary n_vocab (vocab_size)</t>
  </si>
  <si>
    <t xml:space="preserve">Tied embeddings? (tie_word_embeddings: 1 = yes, 0 = no)</t>
  </si>
  <si>
    <t xml:space="preserve">Prompt length (tokens)</t>
  </si>
  <si>
    <t xml:space="preserve">Context window (max_position_embeddings), Llama 3 8B</t>
  </si>
  <si>
    <t xml:space="preserve">Extended context window, Llama 3.1 8B (tokens)</t>
  </si>
  <si>
    <t xml:space="preserve">Bits per weight q, BF16</t>
  </si>
  <si>
    <t xml:space="preserve">Bits per weight q, 4.5-bit format</t>
  </si>
  <si>
    <t xml:space="preserve">Bits per weight q, Q4_K_M file average (Table 14.1)</t>
  </si>
  <si>
    <t xml:space="preserve">Bytes per KV value (BF16 = 2)</t>
  </si>
  <si>
    <t xml:space="preserve">Memory bandwidth, H100 SXM (GB/s)</t>
  </si>
  <si>
    <t xml:space="preserve">Memory bandwidth, minimum Box (GB/s; Table P.3)</t>
  </si>
  <si>
    <t xml:space="preserve">Memory bandwidth, recommended Box: RTX PRO 4000 Blackwell (GB/s)</t>
  </si>
  <si>
    <t xml:space="preserve">Quantity</t>
  </si>
  <si>
    <t xml:space="preserve">Value</t>
  </si>
  <si>
    <t xml:space="preserve">Head dimension d_k used (head_dim, or d ÷ h if blank)</t>
  </si>
  <si>
    <t xml:space="preserve">W_Q = d × (h·d_k)</t>
  </si>
  <si>
    <t xml:space="preserve">W_K and W_V = 2 × d × (h_kv·d_k)</t>
  </si>
  <si>
    <t xml:space="preserve">W_O = (h·d_k) × d</t>
  </si>
  <si>
    <t xml:space="preserve">Attention per block</t>
  </si>
  <si>
    <t xml:space="preserve">Attention per block if each query head had its own keys and values (h_kv = h)</t>
  </si>
  <si>
    <t xml:space="preserve">Gate and up projections = 2·d·d_ff</t>
  </si>
  <si>
    <t xml:space="preserve">Down projection = d_ff·d</t>
  </si>
  <si>
    <t xml:space="preserve">Feed-forward per block = 3·d·d_ff</t>
  </si>
  <si>
    <t xml:space="preserve">Norm gains per block = 2d</t>
  </si>
  <si>
    <t xml:space="preserve">Parameters per block</t>
  </si>
  <si>
    <t xml:space="preserve">All blocks</t>
  </si>
  <si>
    <t xml:space="preserve">Input embedding = n_vocab × d</t>
  </si>
  <si>
    <t xml:space="preserve">Output projection = n_vocab × d (if not tied)</t>
  </si>
  <si>
    <t xml:space="preserve">Final norm = d</t>
  </si>
  <si>
    <t xml:space="preserve">Total parameters</t>
  </si>
  <si>
    <t xml:space="preserve">Total (billions)</t>
  </si>
  <si>
    <t xml:space="preserve">Share in feed-forward layers</t>
  </si>
  <si>
    <t xml:space="preserve">Share in embedding matrices</t>
  </si>
  <si>
    <t xml:space="preserve">Weights in the 4.5-bit format (GB)</t>
  </si>
  <si>
    <t xml:space="preserve">Parameters in matrix products per token (all except the input-embedding lookup)</t>
  </si>
  <si>
    <t xml:space="preserve">FLOPs per generated token ≈ 2 × those parameters (GFLOPs)</t>
  </si>
  <si>
    <t xml:space="preserve">FLOPs per prompt token in the blocks = 2 × all blocks (GFLOPs)</t>
  </si>
  <si>
    <t xml:space="preserve">Prefill FLOPs for the prompt (GFLOPs) = blocks for every position + output projection for the last</t>
  </si>
  <si>
    <t xml:space="preserve">Attention FLOPs for the prompt (MFLOPs) = Σ 4·i·(h·d_k) over positions i, × L</t>
  </si>
  <si>
    <t xml:space="preserve">Attention share of the prompt's FLOPs</t>
  </si>
  <si>
    <t xml:space="preserve">KV cache per token (bytes) = 2 × L × h_kv × d_k × bytes</t>
  </si>
  <si>
    <t xml:space="preserve">KV cache for the prompt (MB)</t>
  </si>
  <si>
    <t xml:space="preserve">KV cache for the context window (GB)</t>
  </si>
  <si>
    <t xml:space="preserve">KV cache for the extended context window (GB)</t>
  </si>
  <si>
    <t xml:space="preserve">Bytes read per generated token, BF16 (GB)</t>
  </si>
  <si>
    <t xml:space="preserve">Bytes read per generated token, 4.5-bit format (GB)</t>
  </si>
  <si>
    <t xml:space="preserve">Bytes read per generated token, Q4_K_M (GB)</t>
  </si>
  <si>
    <t xml:space="preserve">Decode ceiling, H100 SXM, BF16 (tokens/s)</t>
  </si>
  <si>
    <t xml:space="preserve">Decode ceiling, minimum Box, 4.5-bit format (tokens/s)</t>
  </si>
  <si>
    <t xml:space="preserve">Decode ceiling, minimum Box, Q4_K_M (tokens/s)</t>
  </si>
  <si>
    <t xml:space="preserve">Decode ceiling, recommended Box, Q4_K_M (tokens/s)</t>
  </si>
  <si>
    <t xml:space="preserve">Defaults reproduce Table 4.2, the parameter column of Table 4.3 and Worked Example 4.4 (Llama 3 8B: 8.03 B parameters; ≈ 15 GFLOPs and 0.13 MB of KV cache per token; decode ceilings of about 220, 32, 30 and 146 tokens/s).</t>
  </si>
  <si>
    <t xml:space="preserve">Decode ceilings are bandwidth limits for one user (Section 2.5.5); they ignore the KV-cache read and kernel overheads (Chapter 13). Table 15.2 lists the ceilings of other Box hardware.</t>
  </si>
  <si>
    <t xml:space="preserve">Where config.json gives head_dim, enter it in B7: Qwen3-32B has hidden_size 5,120 and 64 query heads but head_dim 128, not 5,120 ÷ 64 = 80 (Section 4.8, Table 6.3).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</si>
</sst>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.000"/>
    <numFmt numFmtId="168" formatCode="#,##0"/>
    <numFmt numFmtId="169" formatCode="0.0"/>
    <numFmt numFmtId="170" formatCode="0.00E+00"/>
    <numFmt numFmtId="171" formatCode="0.0%"/>
    <numFmt numFmtId="172" formatCode="#,##0.0"/>
    <numFmt numFmtId="173" formatCode="#,##0.00"/>
    <numFmt numFmtId="174" formatCode="0.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30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30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45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8" t="s">
        <v>23</v>
      </c>
    </row>
    <row r="13" customFormat="false" ht="30" hidden="false" customHeight="true" outlineLevel="0" collapsed="false">
      <c r="A13" s="9" t="s">
        <v>24</v>
      </c>
      <c r="B13" s="9"/>
      <c r="C13" s="9"/>
    </row>
    <row r="14" customFormat="false" ht="15" hidden="false" customHeight="true" outlineLevel="0" collapsed="false">
      <c r="A14" s="4"/>
    </row>
  </sheetData>
  <mergeCells count="2"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1" min="2" style="1" width="11"/>
  </cols>
  <sheetData>
    <row r="1" customFormat="false" ht="15.75" hidden="false" customHeight="true" outlineLevel="0" collapsed="false">
      <c r="A1" s="10" t="s">
        <v>25</v>
      </c>
    </row>
    <row r="3" customFormat="false" ht="15" hidden="false" customHeight="true" outlineLevel="0" collapsed="false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G3" s="11" t="s">
        <v>31</v>
      </c>
      <c r="H3" s="11" t="s">
        <v>32</v>
      </c>
    </row>
    <row r="4" customFormat="false" ht="15" hidden="false" customHeight="true" outlineLevel="0" collapsed="false">
      <c r="A4" s="12" t="s">
        <v>33</v>
      </c>
      <c r="B4" s="13" t="n">
        <v>1</v>
      </c>
      <c r="C4" s="13" t="n">
        <v>0</v>
      </c>
      <c r="D4" s="13" t="n">
        <v>1</v>
      </c>
      <c r="E4" s="13" t="n">
        <v>0</v>
      </c>
      <c r="G4" s="14" t="n">
        <f aca="false">COLUMNS(B4:E4)</f>
        <v>4</v>
      </c>
      <c r="H4" s="15" t="n">
        <f aca="false">SQRT(G4)</f>
        <v>2</v>
      </c>
    </row>
    <row r="6" customFormat="false" ht="15" hidden="false" customHeight="true" outlineLevel="0" collapsed="false">
      <c r="A6" s="11" t="s">
        <v>34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</row>
    <row r="7" customFormat="false" ht="15" hidden="false" customHeight="true" outlineLevel="0" collapsed="false">
      <c r="A7" s="16" t="s">
        <v>45</v>
      </c>
      <c r="B7" s="13" t="n">
        <v>0</v>
      </c>
      <c r="C7" s="13" t="n">
        <v>1</v>
      </c>
      <c r="D7" s="13" t="n">
        <v>0</v>
      </c>
      <c r="E7" s="13" t="n">
        <v>0</v>
      </c>
      <c r="F7" s="15" t="n">
        <f aca="false">SUMPRODUCT($B$4:$E$4,B7:E7)</f>
        <v>0</v>
      </c>
      <c r="G7" s="15" t="n">
        <f aca="false">F7/$H$4</f>
        <v>0</v>
      </c>
      <c r="H7" s="17" t="n">
        <f aca="false">EXP(G7)</f>
        <v>1</v>
      </c>
      <c r="I7" s="17" t="n">
        <f aca="false">H7/SUM($H$7:$H$9)</f>
        <v>0.186323723225848</v>
      </c>
      <c r="J7" s="13" t="n">
        <v>0</v>
      </c>
      <c r="K7" s="13" t="n">
        <v>0.2</v>
      </c>
    </row>
    <row r="8" customFormat="false" ht="15" hidden="false" customHeight="true" outlineLevel="0" collapsed="false">
      <c r="A8" s="16" t="s">
        <v>46</v>
      </c>
      <c r="B8" s="13" t="n">
        <v>1</v>
      </c>
      <c r="C8" s="13" t="n">
        <v>0</v>
      </c>
      <c r="D8" s="13" t="n">
        <v>1</v>
      </c>
      <c r="E8" s="13" t="n">
        <v>1</v>
      </c>
      <c r="F8" s="15" t="n">
        <f aca="false">SUMPRODUCT($B$4:$E$4,B8:E8)</f>
        <v>2</v>
      </c>
      <c r="G8" s="15" t="n">
        <f aca="false">F8/$H$4</f>
        <v>1</v>
      </c>
      <c r="H8" s="17" t="n">
        <f aca="false">EXP(G8)</f>
        <v>2.71828182845905</v>
      </c>
      <c r="I8" s="17" t="n">
        <f aca="false">H8/SUM($H$7:$H$9)</f>
        <v>0.506480391055654</v>
      </c>
      <c r="J8" s="13" t="n">
        <v>1</v>
      </c>
      <c r="K8" s="13" t="n">
        <v>0</v>
      </c>
    </row>
    <row r="9" customFormat="false" ht="15" hidden="false" customHeight="true" outlineLevel="0" collapsed="false">
      <c r="A9" s="16" t="s">
        <v>47</v>
      </c>
      <c r="B9" s="13" t="n">
        <v>1</v>
      </c>
      <c r="C9" s="13" t="n">
        <v>0</v>
      </c>
      <c r="D9" s="13" t="n">
        <v>0</v>
      </c>
      <c r="E9" s="13" t="n">
        <v>0</v>
      </c>
      <c r="F9" s="15" t="n">
        <f aca="false">SUMPRODUCT($B$4:$E$4,B9:E9)</f>
        <v>1</v>
      </c>
      <c r="G9" s="15" t="n">
        <f aca="false">F9/$H$4</f>
        <v>0.5</v>
      </c>
      <c r="H9" s="17" t="n">
        <f aca="false">EXP(G9)</f>
        <v>1.64872127070013</v>
      </c>
      <c r="I9" s="17" t="n">
        <f aca="false">H9/SUM($H$7:$H$9)</f>
        <v>0.307195885718498</v>
      </c>
      <c r="J9" s="13" t="n">
        <v>0.2</v>
      </c>
      <c r="K9" s="13" t="n">
        <v>0.8</v>
      </c>
    </row>
    <row r="10" customFormat="false" ht="15" hidden="false" customHeight="true" outlineLevel="0" collapsed="false">
      <c r="A10" s="12" t="s">
        <v>48</v>
      </c>
      <c r="H10" s="18" t="n">
        <f aca="false">SUM(H7:H9)</f>
        <v>5.36700309915917</v>
      </c>
      <c r="I10" s="18" t="n">
        <f aca="false">SUM(I7:I9)</f>
        <v>1</v>
      </c>
    </row>
    <row r="11" customFormat="false" ht="15" hidden="false" customHeight="true" outlineLevel="0" collapsed="false">
      <c r="A11" s="12" t="s">
        <v>49</v>
      </c>
      <c r="J11" s="18" t="n">
        <f aca="false">SUMPRODUCT($I$7:$I$9,J7:J9)</f>
        <v>0.567919568199354</v>
      </c>
      <c r="K11" s="18" t="n">
        <f aca="false">SUMPRODUCT($I$7:$I$9,K7:K9)</f>
        <v>0.283021453219968</v>
      </c>
    </row>
    <row r="13" customFormat="false" ht="15" hidden="false" customHeight="true" outlineLevel="0" collapsed="false">
      <c r="A13" s="1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0" t="s">
        <v>51</v>
      </c>
    </row>
    <row r="3" customFormat="false" ht="15" hidden="false" customHeight="true" outlineLevel="0" collapsed="false">
      <c r="A3" s="20" t="s">
        <v>52</v>
      </c>
      <c r="B3" s="21" t="n">
        <v>128</v>
      </c>
    </row>
    <row r="4" customFormat="false" ht="15" hidden="false" customHeight="true" outlineLevel="0" collapsed="false">
      <c r="A4" s="20" t="s">
        <v>53</v>
      </c>
      <c r="B4" s="15" t="n">
        <f aca="false">SQRT(B3)</f>
        <v>11.3137084989848</v>
      </c>
    </row>
    <row r="5" customFormat="false" ht="15" hidden="false" customHeight="true" outlineLevel="0" collapsed="false">
      <c r="A5" s="12" t="s">
        <v>54</v>
      </c>
      <c r="B5" s="22" t="n">
        <f aca="false">EXP(B4)</f>
        <v>81937.2098171128</v>
      </c>
    </row>
    <row r="6" customFormat="false" ht="15" hidden="false" customHeight="true" outlineLevel="0" collapsed="false">
      <c r="A6" s="12" t="s">
        <v>55</v>
      </c>
      <c r="B6" s="23" t="n">
        <f aca="false">EXP(B4/SQRT(B3))</f>
        <v>2.71828182845905</v>
      </c>
    </row>
    <row r="8" customFormat="false" ht="15" hidden="false" customHeight="true" outlineLevel="0" collapsed="false">
      <c r="A8" s="1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5" min="3" style="1" width="12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10" t="s">
        <v>57</v>
      </c>
    </row>
    <row r="3" customFormat="false" ht="15" hidden="false" customHeight="true" outlineLevel="0" collapsed="false">
      <c r="A3" s="20" t="s">
        <v>58</v>
      </c>
      <c r="B3" s="24" t="n">
        <v>0.1</v>
      </c>
    </row>
    <row r="5" customFormat="false" ht="15" hidden="false" customHeight="true" outlineLevel="0" collapsed="false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63</v>
      </c>
      <c r="F5" s="11" t="s">
        <v>64</v>
      </c>
    </row>
    <row r="6" customFormat="false" ht="15" hidden="false" customHeight="true" outlineLevel="0" collapsed="false">
      <c r="A6" s="20" t="s">
        <v>65</v>
      </c>
      <c r="B6" s="21" t="n">
        <v>5</v>
      </c>
      <c r="C6" s="21" t="n">
        <v>3</v>
      </c>
      <c r="D6" s="15" t="n">
        <f aca="false">B6*$B$3</f>
        <v>0.5</v>
      </c>
      <c r="E6" s="15" t="n">
        <f aca="false">C6*$B$3</f>
        <v>0.3</v>
      </c>
      <c r="F6" s="17" t="n">
        <f aca="false">COS(D6-E6)</f>
        <v>0.980066577841242</v>
      </c>
    </row>
    <row r="7" customFormat="false" ht="15" hidden="false" customHeight="true" outlineLevel="0" collapsed="false">
      <c r="A7" s="20" t="s">
        <v>66</v>
      </c>
      <c r="B7" s="21" t="n">
        <v>15</v>
      </c>
      <c r="C7" s="21" t="n">
        <v>13</v>
      </c>
      <c r="D7" s="15" t="n">
        <f aca="false">B7*$B$3</f>
        <v>1.5</v>
      </c>
      <c r="E7" s="15" t="n">
        <f aca="false">C7*$B$3</f>
        <v>1.3</v>
      </c>
      <c r="F7" s="17" t="n">
        <f aca="false">COS(D7-E7)</f>
        <v>0.980066577841242</v>
      </c>
    </row>
    <row r="8" customFormat="false" ht="15" hidden="false" customHeight="true" outlineLevel="0" collapsed="false">
      <c r="A8" s="20" t="s">
        <v>67</v>
      </c>
      <c r="B8" s="21" t="n">
        <v>13</v>
      </c>
      <c r="C8" s="21" t="n">
        <v>3</v>
      </c>
      <c r="D8" s="15" t="n">
        <f aca="false">B8*$B$3</f>
        <v>1.3</v>
      </c>
      <c r="E8" s="15" t="n">
        <f aca="false">C8*$B$3</f>
        <v>0.3</v>
      </c>
      <c r="F8" s="17" t="n">
        <f aca="false">COS(D8-E8)</f>
        <v>0.54030230586814</v>
      </c>
    </row>
    <row r="9" customFormat="false" ht="15" hidden="false" customHeight="true" outlineLevel="0" collapsed="false">
      <c r="A9" s="20" t="s">
        <v>68</v>
      </c>
      <c r="B9" s="21" t="n">
        <v>100</v>
      </c>
      <c r="C9" s="21" t="n">
        <v>98</v>
      </c>
      <c r="D9" s="15" t="n">
        <f aca="false">B9*$B$3</f>
        <v>10</v>
      </c>
      <c r="E9" s="15" t="n">
        <f aca="false">C9*$B$3</f>
        <v>9.8</v>
      </c>
      <c r="F9" s="17" t="n">
        <f aca="false">COS(D9-E9)</f>
        <v>0.980066577841242</v>
      </c>
    </row>
    <row r="10" customFormat="false" ht="15" hidden="false" customHeight="true" outlineLevel="0" collapsed="false">
      <c r="A10" s="20" t="s">
        <v>69</v>
      </c>
      <c r="B10" s="21" t="n">
        <v>66</v>
      </c>
      <c r="C10" s="21" t="n">
        <v>3</v>
      </c>
      <c r="D10" s="15" t="n">
        <f aca="false">B10*$B$3</f>
        <v>6.6</v>
      </c>
      <c r="E10" s="15" t="n">
        <f aca="false">C10*$B$3</f>
        <v>0.3</v>
      </c>
      <c r="F10" s="17" t="n">
        <f aca="false">COS(D10-E10)</f>
        <v>0.999858636383415</v>
      </c>
    </row>
    <row r="12" customFormat="false" ht="15" hidden="false" customHeight="true" outlineLevel="0" collapsed="false">
      <c r="A12" s="12" t="s">
        <v>70</v>
      </c>
      <c r="B12" s="25" t="n">
        <f aca="false">2*PI()/B3</f>
        <v>62.8318530717959</v>
      </c>
    </row>
    <row r="14" customFormat="false" ht="15" hidden="false" customHeight="true" outlineLevel="0" collapsed="false">
      <c r="A14" s="1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5.75" hidden="false" customHeight="true" outlineLevel="0" collapsed="false">
      <c r="A1" s="10" t="s">
        <v>72</v>
      </c>
    </row>
    <row r="3" customFormat="false" ht="15" hidden="false" customHeight="true" outlineLevel="0" collapsed="false">
      <c r="A3" s="20" t="s">
        <v>73</v>
      </c>
      <c r="B3" s="26" t="n">
        <v>4096</v>
      </c>
    </row>
    <row r="4" customFormat="false" ht="15" hidden="false" customHeight="true" outlineLevel="0" collapsed="false">
      <c r="A4" s="20" t="s">
        <v>74</v>
      </c>
      <c r="B4" s="26" t="n">
        <v>11008</v>
      </c>
    </row>
    <row r="5" customFormat="false" ht="15" hidden="false" customHeight="true" outlineLevel="0" collapsed="false">
      <c r="A5" s="20" t="s">
        <v>75</v>
      </c>
      <c r="B5" s="26" t="n">
        <v>32</v>
      </c>
    </row>
    <row r="6" customFormat="false" ht="15" hidden="false" customHeight="true" outlineLevel="0" collapsed="false">
      <c r="A6" s="20" t="s">
        <v>76</v>
      </c>
      <c r="B6" s="26" t="n">
        <v>2</v>
      </c>
    </row>
    <row r="8" customFormat="false" ht="43.5" hidden="false" customHeight="true" outlineLevel="0" collapsed="false">
      <c r="A8" s="11" t="s">
        <v>77</v>
      </c>
      <c r="B8" s="11" t="s">
        <v>78</v>
      </c>
      <c r="C8" s="11" t="s">
        <v>79</v>
      </c>
      <c r="D8" s="11" t="s">
        <v>80</v>
      </c>
      <c r="E8" s="11" t="s">
        <v>81</v>
      </c>
      <c r="F8" s="11" t="s">
        <v>82</v>
      </c>
      <c r="G8" s="11" t="s">
        <v>83</v>
      </c>
      <c r="H8" s="11" t="s">
        <v>84</v>
      </c>
    </row>
    <row r="9" customFormat="false" ht="15" hidden="false" customHeight="true" outlineLevel="0" collapsed="false">
      <c r="A9" s="26" t="n">
        <v>512</v>
      </c>
      <c r="B9" s="27" t="n">
        <f aca="false">8*$B$3^2</f>
        <v>134217728</v>
      </c>
      <c r="C9" s="27" t="n">
        <f aca="false">6*$B$3*$B$4</f>
        <v>270532608</v>
      </c>
      <c r="D9" s="27" t="n">
        <f aca="false">2*A9*$B$3</f>
        <v>4194304</v>
      </c>
      <c r="E9" s="28" t="n">
        <f aca="false">D9/(B9+C9+D9)</f>
        <v>0.0102564102564103</v>
      </c>
      <c r="F9" s="27" t="n">
        <f aca="false">4*A9*$B$3</f>
        <v>8388608</v>
      </c>
      <c r="G9" s="28" t="n">
        <f aca="false">F9/(B9+C9+F9)</f>
        <v>0.0203045685279188</v>
      </c>
      <c r="H9" s="29" t="n">
        <f aca="false">$B$5*A9^2*$B$6/1000000000</f>
        <v>0.016777216</v>
      </c>
    </row>
    <row r="10" customFormat="false" ht="15" hidden="false" customHeight="true" outlineLevel="0" collapsed="false">
      <c r="A10" s="26" t="n">
        <v>1024</v>
      </c>
      <c r="B10" s="27" t="n">
        <f aca="false">8*$B$3^2</f>
        <v>134217728</v>
      </c>
      <c r="C10" s="27" t="n">
        <f aca="false">6*$B$3*$B$4</f>
        <v>270532608</v>
      </c>
      <c r="D10" s="27" t="n">
        <f aca="false">2*A10*$B$3</f>
        <v>8388608</v>
      </c>
      <c r="E10" s="28" t="n">
        <f aca="false">D10/(B10+C10+D10)</f>
        <v>0.0203045685279188</v>
      </c>
      <c r="F10" s="27" t="n">
        <f aca="false">4*A10*$B$3</f>
        <v>16777216</v>
      </c>
      <c r="G10" s="28" t="n">
        <f aca="false">F10/(B10+C10+F10)</f>
        <v>0.0398009950248756</v>
      </c>
      <c r="H10" s="29" t="n">
        <f aca="false">$B$5*A10^2*$B$6/1000000000</f>
        <v>0.067108864</v>
      </c>
    </row>
    <row r="11" customFormat="false" ht="15" hidden="false" customHeight="true" outlineLevel="0" collapsed="false">
      <c r="A11" s="26" t="n">
        <v>2048</v>
      </c>
      <c r="B11" s="27" t="n">
        <f aca="false">8*$B$3^2</f>
        <v>134217728</v>
      </c>
      <c r="C11" s="27" t="n">
        <f aca="false">6*$B$3*$B$4</f>
        <v>270532608</v>
      </c>
      <c r="D11" s="27" t="n">
        <f aca="false">2*A11*$B$3</f>
        <v>16777216</v>
      </c>
      <c r="E11" s="28" t="n">
        <f aca="false">D11/(B11+C11+D11)</f>
        <v>0.0398009950248756</v>
      </c>
      <c r="F11" s="27" t="n">
        <f aca="false">4*A11*$B$3</f>
        <v>33554432</v>
      </c>
      <c r="G11" s="28" t="n">
        <f aca="false">F11/(B11+C11+F11)</f>
        <v>0.076555023923445</v>
      </c>
      <c r="H11" s="29" t="n">
        <f aca="false">$B$5*A11^2*$B$6/1000000000</f>
        <v>0.268435456</v>
      </c>
    </row>
    <row r="12" customFormat="false" ht="15" hidden="false" customHeight="true" outlineLevel="0" collapsed="false">
      <c r="A12" s="26" t="n">
        <v>4096</v>
      </c>
      <c r="B12" s="27" t="n">
        <f aca="false">8*$B$3^2</f>
        <v>134217728</v>
      </c>
      <c r="C12" s="27" t="n">
        <f aca="false">6*$B$3*$B$4</f>
        <v>270532608</v>
      </c>
      <c r="D12" s="27" t="n">
        <f aca="false">2*A12*$B$3</f>
        <v>33554432</v>
      </c>
      <c r="E12" s="28" t="n">
        <f aca="false">D12/(B12+C12+D12)</f>
        <v>0.076555023923445</v>
      </c>
      <c r="F12" s="27" t="n">
        <f aca="false">4*A12*$B$3</f>
        <v>67108864</v>
      </c>
      <c r="G12" s="28" t="n">
        <f aca="false">F12/(B12+C12+F12)</f>
        <v>0.142222222222222</v>
      </c>
      <c r="H12" s="29" t="n">
        <f aca="false">$B$5*A12^2*$B$6/1000000000</f>
        <v>1.073741824</v>
      </c>
    </row>
    <row r="13" customFormat="false" ht="15" hidden="false" customHeight="true" outlineLevel="0" collapsed="false">
      <c r="A13" s="26" t="n">
        <v>8192</v>
      </c>
      <c r="B13" s="27" t="n">
        <f aca="false">8*$B$3^2</f>
        <v>134217728</v>
      </c>
      <c r="C13" s="27" t="n">
        <f aca="false">6*$B$3*$B$4</f>
        <v>270532608</v>
      </c>
      <c r="D13" s="27" t="n">
        <f aca="false">2*A13*$B$3</f>
        <v>67108864</v>
      </c>
      <c r="E13" s="28" t="n">
        <f aca="false">D13/(B13+C13+D13)</f>
        <v>0.142222222222222</v>
      </c>
      <c r="F13" s="27" t="n">
        <f aca="false">4*A13*$B$3</f>
        <v>134217728</v>
      </c>
      <c r="G13" s="28" t="n">
        <f aca="false">F13/(B13+C13+F13)</f>
        <v>0.249027237354086</v>
      </c>
      <c r="H13" s="29" t="n">
        <f aca="false">$B$5*A13^2*$B$6/1000000000</f>
        <v>4.294967296</v>
      </c>
    </row>
    <row r="14" customFormat="false" ht="15" hidden="false" customHeight="true" outlineLevel="0" collapsed="false">
      <c r="A14" s="26" t="n">
        <v>16384</v>
      </c>
      <c r="B14" s="27" t="n">
        <f aca="false">8*$B$3^2</f>
        <v>134217728</v>
      </c>
      <c r="C14" s="27" t="n">
        <f aca="false">6*$B$3*$B$4</f>
        <v>270532608</v>
      </c>
      <c r="D14" s="27" t="n">
        <f aca="false">2*A14*$B$3</f>
        <v>134217728</v>
      </c>
      <c r="E14" s="28" t="n">
        <f aca="false">D14/(B14+C14+D14)</f>
        <v>0.249027237354086</v>
      </c>
      <c r="F14" s="27" t="n">
        <f aca="false">4*A14*$B$3</f>
        <v>268435456</v>
      </c>
      <c r="G14" s="28" t="n">
        <f aca="false">F14/(B14+C14+F14)</f>
        <v>0.398753894080997</v>
      </c>
      <c r="H14" s="29" t="n">
        <f aca="false">$B$5*A14^2*$B$6/1000000000</f>
        <v>17.179869184</v>
      </c>
    </row>
    <row r="15" customFormat="false" ht="15" hidden="false" customHeight="true" outlineLevel="0" collapsed="false">
      <c r="A15" s="26" t="n">
        <v>32768</v>
      </c>
      <c r="B15" s="27" t="n">
        <f aca="false">8*$B$3^2</f>
        <v>134217728</v>
      </c>
      <c r="C15" s="27" t="n">
        <f aca="false">6*$B$3*$B$4</f>
        <v>270532608</v>
      </c>
      <c r="D15" s="27" t="n">
        <f aca="false">2*A15*$B$3</f>
        <v>268435456</v>
      </c>
      <c r="E15" s="28" t="n">
        <f aca="false">D15/(B15+C15+D15)</f>
        <v>0.398753894080997</v>
      </c>
      <c r="F15" s="27" t="n">
        <f aca="false">4*A15*$B$3</f>
        <v>536870912</v>
      </c>
      <c r="G15" s="28" t="n">
        <f aca="false">F15/(B15+C15+F15)</f>
        <v>0.570155902004454</v>
      </c>
      <c r="H15" s="29" t="n">
        <f aca="false">$B$5*A15^2*$B$6/1000000000</f>
        <v>68.719476736</v>
      </c>
    </row>
    <row r="16" customFormat="false" ht="15" hidden="false" customHeight="true" outlineLevel="0" collapsed="false">
      <c r="A16" s="26" t="n">
        <v>65536</v>
      </c>
      <c r="B16" s="27" t="n">
        <f aca="false">8*$B$3^2</f>
        <v>134217728</v>
      </c>
      <c r="C16" s="27" t="n">
        <f aca="false">6*$B$3*$B$4</f>
        <v>270532608</v>
      </c>
      <c r="D16" s="27" t="n">
        <f aca="false">2*A16*$B$3</f>
        <v>536870912</v>
      </c>
      <c r="E16" s="28" t="n">
        <f aca="false">D16/(B16+C16+D16)</f>
        <v>0.570155902004454</v>
      </c>
      <c r="F16" s="27" t="n">
        <f aca="false">4*A16*$B$3</f>
        <v>1073741824</v>
      </c>
      <c r="G16" s="28" t="n">
        <f aca="false">F16/(B16+C16+F16)</f>
        <v>0.726241134751773</v>
      </c>
      <c r="H16" s="29" t="n">
        <f aca="false">$B$5*A16^2*$B$6/1000000000</f>
        <v>274.877906944</v>
      </c>
    </row>
    <row r="17" customFormat="false" ht="15" hidden="false" customHeight="true" outlineLevel="0" collapsed="false">
      <c r="A17" s="26" t="n">
        <v>131072</v>
      </c>
      <c r="B17" s="27" t="n">
        <f aca="false">8*$B$3^2</f>
        <v>134217728</v>
      </c>
      <c r="C17" s="27" t="n">
        <f aca="false">6*$B$3*$B$4</f>
        <v>270532608</v>
      </c>
      <c r="D17" s="27" t="n">
        <f aca="false">2*A17*$B$3</f>
        <v>1073741824</v>
      </c>
      <c r="E17" s="28" t="n">
        <f aca="false">D17/(B17+C17+D17)</f>
        <v>0.726241134751773</v>
      </c>
      <c r="F17" s="27" t="n">
        <f aca="false">4*A17*$B$3</f>
        <v>2147483648</v>
      </c>
      <c r="G17" s="28" t="n">
        <f aca="false">F17/(B17+C17+F17)</f>
        <v>0.841413311421528</v>
      </c>
      <c r="H17" s="29" t="n">
        <f aca="false">$B$5*A17^2*$B$6/1000000000</f>
        <v>1099.511627776</v>
      </c>
    </row>
    <row r="19" customFormat="false" ht="15" hidden="false" customHeight="true" outlineLevel="0" collapsed="false">
      <c r="A19" s="19" t="s">
        <v>85</v>
      </c>
    </row>
    <row r="20" customFormat="false" ht="15" hidden="false" customHeight="true" outlineLevel="0" collapsed="false">
      <c r="A20" s="1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9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10" min="7" style="1" width="11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16"/>
  </cols>
  <sheetData>
    <row r="1" customFormat="false" ht="15.75" hidden="false" customHeight="true" outlineLevel="0" collapsed="false">
      <c r="A1" s="10" t="s">
        <v>87</v>
      </c>
    </row>
    <row r="3" customFormat="false" ht="45" hidden="false" customHeight="true" outlineLevel="0" collapsed="false">
      <c r="A3" s="11" t="s">
        <v>88</v>
      </c>
      <c r="B3" s="11" t="s">
        <v>89</v>
      </c>
      <c r="C3" s="11" t="s">
        <v>90</v>
      </c>
      <c r="D3" s="11" t="s">
        <v>91</v>
      </c>
      <c r="E3" s="11" t="s">
        <v>92</v>
      </c>
      <c r="F3" s="11" t="s">
        <v>93</v>
      </c>
      <c r="G3" s="11" t="s">
        <v>94</v>
      </c>
      <c r="H3" s="11" t="s">
        <v>95</v>
      </c>
      <c r="I3" s="11" t="s">
        <v>96</v>
      </c>
      <c r="J3" s="11" t="s">
        <v>97</v>
      </c>
      <c r="K3" s="11" t="s">
        <v>98</v>
      </c>
      <c r="L3" s="11" t="s">
        <v>99</v>
      </c>
      <c r="M3" s="11" t="s">
        <v>100</v>
      </c>
      <c r="N3" s="11" t="s">
        <v>101</v>
      </c>
      <c r="O3" s="11" t="s">
        <v>102</v>
      </c>
    </row>
    <row r="4" customFormat="false" ht="15" hidden="false" customHeight="true" outlineLevel="0" collapsed="false">
      <c r="A4" s="16" t="s">
        <v>103</v>
      </c>
      <c r="B4" s="21" t="n">
        <v>32</v>
      </c>
      <c r="C4" s="21" t="n">
        <v>32</v>
      </c>
      <c r="D4" s="21" t="n">
        <v>128</v>
      </c>
      <c r="E4" s="21" t="n">
        <v>2</v>
      </c>
      <c r="F4" s="30" t="n">
        <f aca="false">2*B4*C4*D4*E4</f>
        <v>524288</v>
      </c>
      <c r="G4" s="15" t="n">
        <f aca="false">$F4*4096/1000000000</f>
        <v>2.147483648</v>
      </c>
      <c r="H4" s="15" t="n">
        <f aca="false">$F4*32768/1000000000</f>
        <v>17.179869184</v>
      </c>
      <c r="I4" s="15" t="n">
        <f aca="false">$F4*128000/1000000000</f>
        <v>67.108864</v>
      </c>
      <c r="J4" s="15" t="n">
        <f aca="false">$F4*131072/1000000000</f>
        <v>68.719476736</v>
      </c>
      <c r="K4" s="31" t="n">
        <v>6.74</v>
      </c>
      <c r="L4" s="29" t="n">
        <f aca="false">K4*2</f>
        <v>13.48</v>
      </c>
      <c r="M4" s="15" t="n">
        <f aca="false">J4/L4</f>
        <v>5.09788403086053</v>
      </c>
      <c r="N4" s="21" t="n">
        <v>10</v>
      </c>
      <c r="O4" s="32" t="n">
        <f aca="false">N4*H4</f>
        <v>171.79869184</v>
      </c>
    </row>
    <row r="5" customFormat="false" ht="15" hidden="false" customHeight="true" outlineLevel="0" collapsed="false">
      <c r="A5" s="16" t="s">
        <v>104</v>
      </c>
      <c r="B5" s="21" t="n">
        <v>32</v>
      </c>
      <c r="C5" s="21" t="n">
        <v>8</v>
      </c>
      <c r="D5" s="21" t="n">
        <v>128</v>
      </c>
      <c r="E5" s="21" t="n">
        <v>2</v>
      </c>
      <c r="F5" s="30" t="n">
        <f aca="false">2*B5*C5*D5*E5</f>
        <v>131072</v>
      </c>
      <c r="G5" s="15" t="n">
        <f aca="false">$F5*4096/1000000000</f>
        <v>0.536870912</v>
      </c>
      <c r="H5" s="15" t="n">
        <f aca="false">$F5*32768/1000000000</f>
        <v>4.294967296</v>
      </c>
      <c r="I5" s="15" t="n">
        <f aca="false">$F5*128000/1000000000</f>
        <v>16.777216</v>
      </c>
      <c r="J5" s="15" t="n">
        <f aca="false">$F5*131072/1000000000</f>
        <v>17.179869184</v>
      </c>
      <c r="K5" s="31" t="n">
        <v>8.03</v>
      </c>
      <c r="L5" s="29" t="n">
        <f aca="false">K5*2</f>
        <v>16.06</v>
      </c>
      <c r="M5" s="15" t="n">
        <f aca="false">J5/L5</f>
        <v>1.06973033524284</v>
      </c>
      <c r="N5" s="21" t="n">
        <v>10</v>
      </c>
      <c r="O5" s="32" t="n">
        <f aca="false">N5*H5</f>
        <v>42.94967296</v>
      </c>
    </row>
    <row r="6" customFormat="false" ht="15" hidden="false" customHeight="true" outlineLevel="0" collapsed="false">
      <c r="A6" s="16" t="s">
        <v>105</v>
      </c>
      <c r="B6" s="21" t="n">
        <v>126</v>
      </c>
      <c r="C6" s="21" t="n">
        <v>8</v>
      </c>
      <c r="D6" s="21" t="n">
        <v>128</v>
      </c>
      <c r="E6" s="21" t="n">
        <v>2</v>
      </c>
      <c r="F6" s="30" t="n">
        <f aca="false">2*B6*C6*D6*E6</f>
        <v>516096</v>
      </c>
      <c r="G6" s="15" t="n">
        <f aca="false">$F6*4096/1000000000</f>
        <v>2.113929216</v>
      </c>
      <c r="H6" s="15" t="n">
        <f aca="false">$F6*32768/1000000000</f>
        <v>16.911433728</v>
      </c>
      <c r="I6" s="15" t="n">
        <f aca="false">$F6*128000/1000000000</f>
        <v>66.060288</v>
      </c>
      <c r="J6" s="15" t="n">
        <f aca="false">$F6*131072/1000000000</f>
        <v>67.645734912</v>
      </c>
      <c r="K6" s="31" t="n">
        <v>405</v>
      </c>
      <c r="L6" s="29" t="n">
        <f aca="false">K6*2</f>
        <v>810</v>
      </c>
      <c r="M6" s="15" t="n">
        <f aca="false">J6/L6</f>
        <v>0.0835132529777778</v>
      </c>
      <c r="N6" s="21" t="n">
        <v>10</v>
      </c>
      <c r="O6" s="32" t="n">
        <f aca="false">N6*H6</f>
        <v>169.11433728</v>
      </c>
    </row>
    <row r="7" customFormat="false" ht="15" hidden="false" customHeight="true" outlineLevel="0" collapsed="false">
      <c r="A7" s="16" t="s">
        <v>106</v>
      </c>
      <c r="B7" s="21" t="n">
        <v>48</v>
      </c>
      <c r="C7" s="21" t="n">
        <v>8</v>
      </c>
      <c r="D7" s="21" t="n">
        <v>128</v>
      </c>
      <c r="E7" s="21" t="n">
        <v>2</v>
      </c>
      <c r="F7" s="30" t="n">
        <f aca="false">2*B7*C7*D7*E7</f>
        <v>196608</v>
      </c>
      <c r="G7" s="15" t="n">
        <f aca="false">$F7*4096/1000000000</f>
        <v>0.805306368</v>
      </c>
      <c r="H7" s="15" t="n">
        <f aca="false">$F7*32768/1000000000</f>
        <v>6.442450944</v>
      </c>
      <c r="I7" s="15" t="n">
        <f aca="false">$F7*128000/1000000000</f>
        <v>25.165824</v>
      </c>
      <c r="J7" s="15" t="n">
        <f aca="false">$F7*131072/1000000000</f>
        <v>25.769803776</v>
      </c>
      <c r="K7" s="31" t="n">
        <v>14</v>
      </c>
      <c r="L7" s="29" t="n">
        <f aca="false">K7*2</f>
        <v>28</v>
      </c>
      <c r="M7" s="15" t="n">
        <f aca="false">J7/L7</f>
        <v>0.920350134857143</v>
      </c>
      <c r="N7" s="21" t="n">
        <v>10</v>
      </c>
      <c r="O7" s="32" t="n">
        <f aca="false">N7*H7</f>
        <v>64.42450944</v>
      </c>
    </row>
    <row r="9" customFormat="false" ht="15" hidden="false" customHeight="true" outlineLevel="0" collapsed="false">
      <c r="A9" s="19" t="s">
        <v>107</v>
      </c>
    </row>
    <row r="10" customFormat="false" ht="15" hidden="false" customHeight="true" outlineLevel="0" collapsed="false">
      <c r="A10" s="19" t="s">
        <v>108</v>
      </c>
    </row>
    <row r="11" customFormat="false" ht="15" hidden="false" customHeight="true" outlineLevel="0" collapsed="false">
      <c r="A11" s="1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10" t="s">
        <v>110</v>
      </c>
    </row>
    <row r="3" customFormat="false" ht="15" hidden="false" customHeight="true" outlineLevel="0" collapsed="false">
      <c r="A3" s="20" t="s">
        <v>111</v>
      </c>
      <c r="B3" s="26" t="n">
        <v>4096</v>
      </c>
    </row>
    <row r="4" customFormat="false" ht="15" hidden="false" customHeight="true" outlineLevel="0" collapsed="false">
      <c r="A4" s="20" t="s">
        <v>112</v>
      </c>
      <c r="B4" s="26" t="n">
        <v>32</v>
      </c>
    </row>
    <row r="5" customFormat="false" ht="15" hidden="false" customHeight="true" outlineLevel="0" collapsed="false">
      <c r="A5" s="20" t="s">
        <v>113</v>
      </c>
      <c r="B5" s="26" t="n">
        <v>32</v>
      </c>
    </row>
    <row r="6" customFormat="false" ht="15" hidden="false" customHeight="true" outlineLevel="0" collapsed="false">
      <c r="A6" s="20" t="s">
        <v>114</v>
      </c>
      <c r="B6" s="26" t="n">
        <v>8</v>
      </c>
    </row>
    <row r="7" customFormat="false" ht="15" hidden="false" customHeight="true" outlineLevel="0" collapsed="false">
      <c r="A7" s="20" t="s">
        <v>115</v>
      </c>
      <c r="B7" s="26" t="n">
        <v>128</v>
      </c>
    </row>
    <row r="8" customFormat="false" ht="15" hidden="false" customHeight="true" outlineLevel="0" collapsed="false">
      <c r="A8" s="20" t="s">
        <v>116</v>
      </c>
      <c r="B8" s="26" t="n">
        <v>14336</v>
      </c>
    </row>
    <row r="9" customFormat="false" ht="15" hidden="false" customHeight="true" outlineLevel="0" collapsed="false">
      <c r="A9" s="20" t="s">
        <v>117</v>
      </c>
      <c r="B9" s="26" t="n">
        <v>128256</v>
      </c>
    </row>
    <row r="10" customFormat="false" ht="15" hidden="false" customHeight="true" outlineLevel="0" collapsed="false">
      <c r="A10" s="20" t="s">
        <v>118</v>
      </c>
      <c r="B10" s="21" t="n">
        <v>0</v>
      </c>
    </row>
    <row r="11" customFormat="false" ht="15" hidden="false" customHeight="true" outlineLevel="0" collapsed="false">
      <c r="A11" s="20" t="s">
        <v>119</v>
      </c>
      <c r="B11" s="26" t="n">
        <v>7</v>
      </c>
    </row>
    <row r="12" customFormat="false" ht="15" hidden="false" customHeight="true" outlineLevel="0" collapsed="false">
      <c r="A12" s="20" t="s">
        <v>120</v>
      </c>
      <c r="B12" s="26" t="n">
        <v>8192</v>
      </c>
    </row>
    <row r="13" customFormat="false" ht="15" hidden="false" customHeight="true" outlineLevel="0" collapsed="false">
      <c r="A13" s="20" t="s">
        <v>121</v>
      </c>
      <c r="B13" s="26" t="n">
        <v>131072</v>
      </c>
    </row>
    <row r="14" customFormat="false" ht="15" hidden="false" customHeight="true" outlineLevel="0" collapsed="false">
      <c r="A14" s="20" t="s">
        <v>122</v>
      </c>
      <c r="B14" s="33" t="n">
        <v>16</v>
      </c>
    </row>
    <row r="15" customFormat="false" ht="15" hidden="false" customHeight="true" outlineLevel="0" collapsed="false">
      <c r="A15" s="20" t="s">
        <v>123</v>
      </c>
      <c r="B15" s="33" t="n">
        <v>4.5</v>
      </c>
    </row>
    <row r="16" customFormat="false" ht="15" hidden="false" customHeight="true" outlineLevel="0" collapsed="false">
      <c r="A16" s="20" t="s">
        <v>124</v>
      </c>
      <c r="B16" s="33" t="n">
        <v>4.9</v>
      </c>
    </row>
    <row r="17" customFormat="false" ht="15" hidden="false" customHeight="true" outlineLevel="0" collapsed="false">
      <c r="A17" s="20" t="s">
        <v>125</v>
      </c>
      <c r="B17" s="21" t="n">
        <v>2</v>
      </c>
    </row>
    <row r="18" customFormat="false" ht="15" hidden="false" customHeight="true" outlineLevel="0" collapsed="false">
      <c r="A18" s="20" t="s">
        <v>126</v>
      </c>
      <c r="B18" s="26" t="n">
        <v>3350</v>
      </c>
    </row>
    <row r="19" customFormat="false" ht="15" hidden="false" customHeight="true" outlineLevel="0" collapsed="false">
      <c r="A19" s="20" t="s">
        <v>127</v>
      </c>
      <c r="B19" s="26" t="n">
        <v>136</v>
      </c>
    </row>
    <row r="20" customFormat="false" ht="15" hidden="false" customHeight="true" outlineLevel="0" collapsed="false">
      <c r="A20" s="20" t="s">
        <v>128</v>
      </c>
      <c r="B20" s="26" t="n">
        <v>672</v>
      </c>
    </row>
    <row r="22" customFormat="false" ht="15" hidden="false" customHeight="true" outlineLevel="0" collapsed="false">
      <c r="A22" s="11" t="s">
        <v>129</v>
      </c>
      <c r="B22" s="11" t="s">
        <v>130</v>
      </c>
    </row>
    <row r="23" customFormat="false" ht="15" hidden="false" customHeight="true" outlineLevel="0" collapsed="false">
      <c r="A23" s="20" t="s">
        <v>131</v>
      </c>
      <c r="B23" s="30" t="n">
        <f aca="false">IF(B7="",B3/B5,B7)</f>
        <v>128</v>
      </c>
    </row>
    <row r="24" customFormat="false" ht="15" hidden="false" customHeight="true" outlineLevel="0" collapsed="false">
      <c r="A24" s="20" t="s">
        <v>132</v>
      </c>
      <c r="B24" s="30" t="n">
        <f aca="false">B3*B5*B23</f>
        <v>16777216</v>
      </c>
    </row>
    <row r="25" customFormat="false" ht="15" hidden="false" customHeight="true" outlineLevel="0" collapsed="false">
      <c r="A25" s="20" t="s">
        <v>133</v>
      </c>
      <c r="B25" s="30" t="n">
        <f aca="false">2*B3*B6*B23</f>
        <v>8388608</v>
      </c>
    </row>
    <row r="26" customFormat="false" ht="15" hidden="false" customHeight="true" outlineLevel="0" collapsed="false">
      <c r="A26" s="20" t="s">
        <v>134</v>
      </c>
      <c r="B26" s="30" t="n">
        <f aca="false">B5*B23*B3</f>
        <v>16777216</v>
      </c>
    </row>
    <row r="27" customFormat="false" ht="15" hidden="false" customHeight="true" outlineLevel="0" collapsed="false">
      <c r="A27" s="20" t="s">
        <v>135</v>
      </c>
      <c r="B27" s="30" t="n">
        <f aca="false">B24+B25+B26</f>
        <v>41943040</v>
      </c>
    </row>
    <row r="28" customFormat="false" ht="15" hidden="false" customHeight="true" outlineLevel="0" collapsed="false">
      <c r="A28" s="20" t="s">
        <v>136</v>
      </c>
      <c r="B28" s="30" t="n">
        <f aca="false">4*B3*B5*B23</f>
        <v>67108864</v>
      </c>
    </row>
    <row r="29" customFormat="false" ht="15" hidden="false" customHeight="true" outlineLevel="0" collapsed="false">
      <c r="A29" s="20" t="s">
        <v>137</v>
      </c>
      <c r="B29" s="30" t="n">
        <f aca="false">2*B3*B8</f>
        <v>117440512</v>
      </c>
    </row>
    <row r="30" customFormat="false" ht="15" hidden="false" customHeight="true" outlineLevel="0" collapsed="false">
      <c r="A30" s="20" t="s">
        <v>138</v>
      </c>
      <c r="B30" s="30" t="n">
        <f aca="false">B8*B3</f>
        <v>58720256</v>
      </c>
    </row>
    <row r="31" customFormat="false" ht="15" hidden="false" customHeight="true" outlineLevel="0" collapsed="false">
      <c r="A31" s="20" t="s">
        <v>139</v>
      </c>
      <c r="B31" s="30" t="n">
        <f aca="false">B29+B30</f>
        <v>176160768</v>
      </c>
    </row>
    <row r="32" customFormat="false" ht="15" hidden="false" customHeight="true" outlineLevel="0" collapsed="false">
      <c r="A32" s="20" t="s">
        <v>140</v>
      </c>
      <c r="B32" s="30" t="n">
        <f aca="false">2*B3</f>
        <v>8192</v>
      </c>
    </row>
    <row r="33" customFormat="false" ht="15" hidden="false" customHeight="true" outlineLevel="0" collapsed="false">
      <c r="A33" s="12" t="s">
        <v>141</v>
      </c>
      <c r="B33" s="22" t="n">
        <f aca="false">B27+B31+B32</f>
        <v>218112000</v>
      </c>
    </row>
    <row r="34" customFormat="false" ht="15" hidden="false" customHeight="true" outlineLevel="0" collapsed="false">
      <c r="A34" s="20" t="s">
        <v>142</v>
      </c>
      <c r="B34" s="30" t="n">
        <f aca="false">B4*B33</f>
        <v>6979584000</v>
      </c>
    </row>
    <row r="35" customFormat="false" ht="15" hidden="false" customHeight="true" outlineLevel="0" collapsed="false">
      <c r="A35" s="20" t="s">
        <v>143</v>
      </c>
      <c r="B35" s="30" t="n">
        <f aca="false">B9*B3</f>
        <v>525336576</v>
      </c>
    </row>
    <row r="36" customFormat="false" ht="15" hidden="false" customHeight="true" outlineLevel="0" collapsed="false">
      <c r="A36" s="20" t="s">
        <v>144</v>
      </c>
      <c r="B36" s="30" t="n">
        <f aca="false">B9*B3*(1-B10)</f>
        <v>525336576</v>
      </c>
    </row>
    <row r="37" customFormat="false" ht="15" hidden="false" customHeight="true" outlineLevel="0" collapsed="false">
      <c r="A37" s="20" t="s">
        <v>145</v>
      </c>
      <c r="B37" s="30" t="n">
        <f aca="false">B3</f>
        <v>4096</v>
      </c>
    </row>
    <row r="38" customFormat="false" ht="15" hidden="false" customHeight="true" outlineLevel="0" collapsed="false">
      <c r="A38" s="12" t="s">
        <v>146</v>
      </c>
      <c r="B38" s="22" t="n">
        <f aca="false">B34+B35+B36+B37</f>
        <v>8030261248</v>
      </c>
    </row>
    <row r="39" customFormat="false" ht="15" hidden="false" customHeight="true" outlineLevel="0" collapsed="false">
      <c r="A39" s="12" t="s">
        <v>147</v>
      </c>
      <c r="B39" s="18" t="n">
        <f aca="false">B38/1000000000</f>
        <v>8.030261248</v>
      </c>
    </row>
    <row r="40" customFormat="false" ht="15" hidden="false" customHeight="true" outlineLevel="0" collapsed="false">
      <c r="A40" s="20" t="s">
        <v>148</v>
      </c>
      <c r="B40" s="34" t="n">
        <f aca="false">B4*B31/B38</f>
        <v>0.701987694037224</v>
      </c>
    </row>
    <row r="41" customFormat="false" ht="15" hidden="false" customHeight="true" outlineLevel="0" collapsed="false">
      <c r="A41" s="20" t="s">
        <v>149</v>
      </c>
      <c r="B41" s="34" t="n">
        <f aca="false">(B35+B36)/B38</f>
        <v>0.130839224223456</v>
      </c>
    </row>
    <row r="42" customFormat="false" ht="15" hidden="false" customHeight="true" outlineLevel="0" collapsed="false">
      <c r="A42" s="20" t="s">
        <v>99</v>
      </c>
      <c r="B42" s="15" t="n">
        <f aca="false">B38*B14/8/1000000000</f>
        <v>16.060522496</v>
      </c>
    </row>
    <row r="43" customFormat="false" ht="15" hidden="false" customHeight="true" outlineLevel="0" collapsed="false">
      <c r="A43" s="20" t="s">
        <v>150</v>
      </c>
      <c r="B43" s="15" t="n">
        <f aca="false">B38*B15/8/1000000000</f>
        <v>4.517021952</v>
      </c>
    </row>
    <row r="44" customFormat="false" ht="15" hidden="false" customHeight="true" outlineLevel="0" collapsed="false">
      <c r="A44" s="20" t="s">
        <v>151</v>
      </c>
      <c r="B44" s="30" t="n">
        <f aca="false">B38-B35+B10*B9*B3</f>
        <v>7504924672</v>
      </c>
    </row>
    <row r="45" customFormat="false" ht="15" hidden="false" customHeight="true" outlineLevel="0" collapsed="false">
      <c r="A45" s="12" t="s">
        <v>152</v>
      </c>
      <c r="B45" s="25" t="n">
        <f aca="false">2*B44/1000000000</f>
        <v>15.009849344</v>
      </c>
    </row>
    <row r="46" customFormat="false" ht="15" hidden="false" customHeight="true" outlineLevel="0" collapsed="false">
      <c r="A46" s="20" t="s">
        <v>153</v>
      </c>
      <c r="B46" s="32" t="n">
        <f aca="false">2*B34/1000000000</f>
        <v>13.959168</v>
      </c>
    </row>
    <row r="47" customFormat="false" ht="15" hidden="false" customHeight="true" outlineLevel="0" collapsed="false">
      <c r="A47" s="12" t="s">
        <v>154</v>
      </c>
      <c r="B47" s="35" t="n">
        <f aca="false">(2*B34*B11+2*B9*B3)/1000000000</f>
        <v>98.764849152</v>
      </c>
    </row>
    <row r="48" customFormat="false" ht="15" hidden="false" customHeight="true" outlineLevel="0" collapsed="false">
      <c r="A48" s="20" t="s">
        <v>155</v>
      </c>
      <c r="B48" s="29" t="n">
        <f aca="false">4*B5*B23*B11*(B11+1)/2*B4/1000000</f>
        <v>14.680064</v>
      </c>
    </row>
    <row r="49" customFormat="false" ht="15" hidden="false" customHeight="true" outlineLevel="0" collapsed="false">
      <c r="A49" s="20" t="s">
        <v>156</v>
      </c>
      <c r="B49" s="36" t="n">
        <f aca="false">B48*1000000/(B47*1000000000)</f>
        <v>0.000148636525302714</v>
      </c>
    </row>
    <row r="50" customFormat="false" ht="15" hidden="false" customHeight="true" outlineLevel="0" collapsed="false">
      <c r="A50" s="20" t="s">
        <v>157</v>
      </c>
      <c r="B50" s="30" t="n">
        <f aca="false">2*B4*B6*B23*B17</f>
        <v>131072</v>
      </c>
    </row>
    <row r="51" customFormat="false" ht="15" hidden="false" customHeight="true" outlineLevel="0" collapsed="false">
      <c r="A51" s="20" t="s">
        <v>158</v>
      </c>
      <c r="B51" s="15" t="n">
        <f aca="false">B50*B11/1000000</f>
        <v>0.917504</v>
      </c>
    </row>
    <row r="52" customFormat="false" ht="15" hidden="false" customHeight="true" outlineLevel="0" collapsed="false">
      <c r="A52" s="20" t="s">
        <v>159</v>
      </c>
      <c r="B52" s="15" t="n">
        <f aca="false">B50*B12/1000000000</f>
        <v>1.073741824</v>
      </c>
    </row>
    <row r="53" customFormat="false" ht="15" hidden="false" customHeight="true" outlineLevel="0" collapsed="false">
      <c r="A53" s="20" t="s">
        <v>160</v>
      </c>
      <c r="B53" s="15" t="n">
        <f aca="false">B50*B13/1000000000</f>
        <v>17.179869184</v>
      </c>
    </row>
    <row r="54" customFormat="false" ht="15" hidden="false" customHeight="true" outlineLevel="0" collapsed="false">
      <c r="A54" s="20" t="s">
        <v>161</v>
      </c>
      <c r="B54" s="15" t="n">
        <f aca="false">B44*B14/8/1000000000</f>
        <v>15.009849344</v>
      </c>
    </row>
    <row r="55" customFormat="false" ht="15" hidden="false" customHeight="true" outlineLevel="0" collapsed="false">
      <c r="A55" s="20" t="s">
        <v>162</v>
      </c>
      <c r="B55" s="15" t="n">
        <f aca="false">B44*B15/8/1000000000</f>
        <v>4.221520128</v>
      </c>
    </row>
    <row r="56" customFormat="false" ht="15" hidden="false" customHeight="true" outlineLevel="0" collapsed="false">
      <c r="A56" s="20" t="s">
        <v>163</v>
      </c>
      <c r="B56" s="15" t="n">
        <f aca="false">B44*B16/8/1000000000</f>
        <v>4.5967663616</v>
      </c>
    </row>
    <row r="57" customFormat="false" ht="15" hidden="false" customHeight="true" outlineLevel="0" collapsed="false">
      <c r="A57" s="12" t="s">
        <v>164</v>
      </c>
      <c r="B57" s="22" t="n">
        <f aca="false">B18/B54</f>
        <v>223.186783772691</v>
      </c>
    </row>
    <row r="58" customFormat="false" ht="15" hidden="false" customHeight="true" outlineLevel="0" collapsed="false">
      <c r="A58" s="12" t="s">
        <v>165</v>
      </c>
      <c r="B58" s="22" t="n">
        <f aca="false">B19/B55</f>
        <v>32.2158833492124</v>
      </c>
    </row>
    <row r="59" customFormat="false" ht="15" hidden="false" customHeight="true" outlineLevel="0" collapsed="false">
      <c r="A59" s="12" t="s">
        <v>166</v>
      </c>
      <c r="B59" s="22" t="n">
        <f aca="false">B19/B56</f>
        <v>29.5860153207052</v>
      </c>
    </row>
    <row r="60" customFormat="false" ht="15" hidden="false" customHeight="true" outlineLevel="0" collapsed="false">
      <c r="A60" s="12" t="s">
        <v>167</v>
      </c>
      <c r="B60" s="22" t="n">
        <f aca="false">B20/B56</f>
        <v>146.189722761132</v>
      </c>
    </row>
    <row r="62" customFormat="false" ht="15" hidden="false" customHeight="true" outlineLevel="0" collapsed="false">
      <c r="A62" s="19" t="s">
        <v>168</v>
      </c>
    </row>
    <row r="63" customFormat="false" ht="15" hidden="false" customHeight="true" outlineLevel="0" collapsed="false">
      <c r="A63" s="19" t="s">
        <v>169</v>
      </c>
    </row>
    <row r="64" customFormat="false" ht="15" hidden="false" customHeight="true" outlineLevel="0" collapsed="false">
      <c r="A64" s="1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2026-10-01T17:51:39Z</dcterms:created>
  <dc:creator>Leonhard Korowajczuk</dc:creator>
  <dc:description/>
  <dc:language>en-US</dc:language>
  <cp:lastModifiedBy>Leonhard Korowajczuk</cp:lastModifiedBy>
  <dcterms:modified xsi:type="dcterms:W3CDTF">2026-10-20T17:46:34Z</dcterms:modified>
  <cp:revision>0</cp:revision>
  <dc:subject/>
  <dc:title>The Transformer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