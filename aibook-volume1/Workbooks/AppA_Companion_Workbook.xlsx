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ectors" sheetId="2" state="visible" r:id="rId4"/>
    <sheet name="Log Space" sheetId="3" state="visible" r:id="rId5"/>
    <sheet name="Information" sheetId="4" state="visible" r:id="rId6"/>
    <sheet name="Softmax" sheetId="5" state="visible" r:id="rId7"/>
    <sheet name="Rotation" sheetId="6" state="visible" r:id="rId8"/>
    <sheet name="BF16" sheetId="7" state="visible" r:id="rId9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<sst xmlns="http://schemas.openxmlformats.org/spreadsheetml/2006/main" count="151" uniqueCount="151">
  <si>
    <t xml:space="preserve">Appendix A — Mathematical Refresher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</si>
  <si>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</si>
  <si>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</si>
  <si>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</si>
  <si>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</si>
  <si>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Vectors</t>
  </si>
  <si>
    <t xml:space="preserve">Lengths, RMS, dot product, cosine, angle, difference and unit vectors, and distance for two vectors of up to eight dimensions.</t>
  </si>
  <si>
    <t xml:space="preserve">Section A.1, Worked Example A.1</t>
  </si>
  <si>
    <t xml:space="preserve">Log Space</t>
  </si>
  <si>
    <t xml:space="preserve">The probability of a long text computed directly (it underflows), as a power of ten and in log space.</t>
  </si>
  <si>
    <t xml:space="preserve">Section A.3, Worked Example A.3</t>
  </si>
  <si>
    <t xml:space="preserve">Information</t>
  </si>
  <si>
    <t xml:space="preserve">Entropy, cross-entropy, KL divergence and perplexity for two distributions.</t>
  </si>
  <si>
    <t xml:space="preserve">Section A.4.5, Worked Example A.4</t>
  </si>
  <si>
    <t xml:space="preserve">Softmax</t>
  </si>
  <si>
    <t xml:space="preserve">Stable softmax, log-sum-exp, cross-entropy loss, its gradient and a finite-difference check for the logits (2, 1, 0), and the same logits shifted to (1,000, 999, 998).</t>
  </si>
  <si>
    <t xml:space="preserve">Sections A.5 and A.6.4, Worked Examples A.5 and A.6</t>
  </si>
  <si>
    <t xml:space="preserve">Rotation</t>
  </si>
  <si>
    <t xml:space="preserve">The identity (R(a)u)·(R(b)v) = uᵀR(b − a)v behind RoPE.</t>
  </si>
  <si>
    <t xml:space="preserve">Section A.8, Worked Example A.8</t>
  </si>
  <si>
    <t xml:space="preserve">BF16</t>
  </si>
  <si>
    <t xml:space="preserve">Sign, exponent and mantissa fields, bit pattern, hexadecimal pattern, stored value and the two representable values around any number.</t>
  </si>
  <si>
    <t xml:space="preserve">Section A.10, Worked Example A.9, Figure A.5</t>
  </si>
  <si>
    <t xml:space="preserve">Notes</t>
  </si>
  <si>
    <t xml:space="preserve">The BF16 sheet rounds to the nearest representable value, with exact ties going to an even mantissa, as hardware does (Section A.10).</t>
  </si>
  <si>
    <t xml:space="preserve">Lengths, Dot Product, Cosine and Distance (Worked Example A.1)</t>
  </si>
  <si>
    <t xml:space="preserve">Component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</si>
  <si>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</si>
  <si>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</si>
  <si>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</si>
  <si>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</si>
  <si>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</si>
  <si>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</si>
  <si>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</si>
  <si>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</si>
  <si>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a</t>
  </si>
  <si>
    <t xml:space="preserve">b</t>
  </si>
  <si>
    <t xml:space="preserve">a − b</t>
  </si>
  <si>
    <t xml:space="preserve">â = a ÷ ‖a‖</t>
  </si>
  <si>
    <t xml:space="preserve">b̂ = b ÷ ‖b‖</t>
  </si>
  <si>
    <t xml:space="preserve">Dimension d (components used)</t>
  </si>
  <si>
    <t xml:space="preserve">‖a‖</t>
  </si>
  <si>
    <t xml:space="preserve">‖b‖</t>
  </si>
  <si>
    <t xml:space="preserve">RMS(a) = ‖a‖ ÷ √d</t>
  </si>
  <si>
    <t xml:space="preserve">a · b</t>
  </si>
  <si>
    <t xml:space="preserve">cos θ</t>
  </si>
  <si>
    <t xml:space="preserve">θ (degrees)</t>
  </si>
  <si>
    <t xml:space="preserve">‖a − b‖</t>
  </si>
  <si>
    <t xml:space="preserve">‖â − b̂‖² (unit vectors)</t>
  </si>
  <si>
    <t xml:space="preserve">2 − 2 cos θ</t>
  </si>
  <si>
    <t xml:space="preserve">For unit vectors the last two rows agree: ranking by distance, cosine or dot product gives the same order.</t>
  </si>
  <si>
    <t xml:space="preserve">The Probability of a Long Text (Worked Example A.3)</t>
  </si>
  <si>
    <t xml:space="preserve">Number of tokens n</t>
  </si>
  <si>
    <t xml:space="preserve">Probability of each token</t>
  </si>
  <si>
    <t xml:space="preserve">Direct product P^n (underflows to 0)</t>
  </si>
  <si>
    <t xml:space="preserve">log₁₀ P(text), the power of ten</t>
  </si>
  <si>
    <t xml:space="preserve">ln P(text) (nats)</t>
  </si>
  <si>
    <t xml:space="preserve">log₂ P(text) (bits)</t>
  </si>
  <si>
    <t xml:space="preserve">Average surprise per token (nats)</t>
  </si>
  <si>
    <t xml:space="preserve">Average surprise per token (bits)</t>
  </si>
  <si>
    <t xml:space="preserve">Perplexity = e^(nats) = 2^(bits)</t>
  </si>
  <si>
    <t xml:space="preserve">Check: 2^(bits)</t>
  </si>
  <si>
    <t xml:space="preserve">The direct product returns 0 because 10^−1,000 is far below the smallest positive FP64 number (about 4.9 × 10^−324) and FP32 number (about 1.4 × 10^−45).</t>
  </si>
  <si>
    <t xml:space="preserve">Entropy, Cross-Entropy, KL Divergence and Perplexity (Worked Example A.4)</t>
  </si>
  <si>
    <t xml:space="preserve">Outcome</t>
  </si>
  <si>
    <t xml:space="preserve">p (real)</t>
  </si>
  <si>
    <t xml:space="preserve">q (model)</t>
  </si>
  <si>
    <t xml:space="preserve">−p·log₂ p</t>
  </si>
  <si>
    <t xml:space="preserve">−p·log₂ q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</si>
  <si>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</si>
  <si>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</si>
  <si>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</si>
  <si>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</si>
  <si>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</si>
  <si>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Sum</t>
  </si>
  <si>
    <t xml:space="preserve">Entropy H(p) (bits)</t>
  </si>
  <si>
    <t xml:space="preserve">Cross-entropy H(p, q) (bits)</t>
  </si>
  <si>
    <t xml:space="preserve">KL divergence D(p‖q) = H(p,q) − H(p)</t>
  </si>
  <si>
    <t xml:space="preserve">Perplexity of a perfect model 2^H(p)</t>
  </si>
  <si>
    <t xml:space="preserve">Perplexity of the model 2^H(p,q)</t>
  </si>
  <si>
    <t xml:space="preserve">Both distributions must sum to 1. A zero in q where p is positive makes the cross-entropy infinite.</t>
  </si>
  <si>
    <t xml:space="preserve">Stable Softmax, Cross-Entropy and Its Gradient (Worked Examples A.5 and A.6)</t>
  </si>
  <si>
    <t xml:space="preserve">Temperature T</t>
  </si>
  <si>
    <t xml:space="preserve">Index of the actual token c (1 to 6)</t>
  </si>
  <si>
    <t xml:space="preserve">Finite-difference step h</t>
  </si>
  <si>
    <t xml:space="preserve">i</t>
  </si>
  <si>
    <t xml:space="preserve">Logit z</t>
  </si>
  <si>
    <t xml:space="preserve">z/T − max</t>
  </si>
  <si>
    <t xml:space="preserve">exp</t>
  </si>
  <si>
    <t xml:space="preserve">Probability p</t>
  </si>
  <si>
    <t xml:space="preserve">Target t</t>
  </si>
  <si>
    <t xml:space="preserve">Gradient (p − t) ÷ T</t>
  </si>
  <si>
    <t xml:space="preserve">Loss with z_i + h</t>
  </si>
  <si>
    <t xml:space="preserve">Loss with z_i − h</t>
  </si>
  <si>
    <t xml:space="preserve">Forward difference</t>
  </si>
  <si>
    <t xml:space="preserve">Central difference</t>
  </si>
  <si>
    <t xml:space="preserve">Log-sum-exp LSE(z/T)</t>
  </si>
  <si>
    <t xml:space="preserve">Probability of the actual token p_c</t>
  </si>
  <si>
    <t xml:space="preserve">Cross-entropy loss −ln p_c (nats)</t>
  </si>
  <si>
    <t xml:space="preserve">Sum of gradient components</t>
  </si>
  <si>
    <t xml:space="preserve">Constant added (Worked Example A.5)</t>
  </si>
  <si>
    <t xml:space="preserve">Largest logit max(z) + constant</t>
  </si>
  <si>
    <t xml:space="preserve">Its exponential, computed directly</t>
  </si>
  <si>
    <t xml:space="preserve">Sum of exp(z/T − max), any constant</t>
  </si>
  <si>
    <t xml:space="preserve">LSE of the shifted logits</t>
  </si>
  <si>
    <t xml:space="preserve">ln p₁ = (z₁ + constant)/T − LSE</t>
  </si>
  <si>
    <t xml:space="preserve">p₁ = exp(ln p₁)</t>
  </si>
  <si>
    <t xml:space="preserve">Adding the same constant to every logit changes no probability: the table holds for (2, 1, 0) and for (1,000, 999, 998) alike.</t>
  </si>
  <si>
    <t xml:space="preserve">Leave unused logits blank. The central difference agrees with (p − t) ÷ T to about six decimals; the forward difference to three or four.</t>
  </si>
  <si>
    <t xml:space="preserve">Rotations in the Plane: the Identity Behind RoPE (Worked Example A.8)</t>
  </si>
  <si>
    <t xml:space="preserve">Rotation per position θ (rad)</t>
  </si>
  <si>
    <t xml:space="preserve">Query position i</t>
  </si>
  <si>
    <t xml:space="preserve">Key position j</t>
  </si>
  <si>
    <t xml:space="preserve">Vector</t>
  </si>
  <si>
    <t xml:space="preserve">x</t>
  </si>
  <si>
    <t xml:space="preserve">y</t>
  </si>
  <si>
    <t xml:space="preserve">u (query, before rotation)</t>
  </si>
  <si>
    <t xml:space="preserve">v (key, before rotation)</t>
  </si>
  <si>
    <t xml:space="preserve">Angle a = i·θ</t>
  </si>
  <si>
    <t xml:space="preserve">Angle b = j·θ</t>
  </si>
  <si>
    <t xml:space="preserve">R(a)u</t>
  </si>
  <si>
    <t xml:space="preserve">R(b)v</t>
  </si>
  <si>
    <t xml:space="preserve">Score (R(a)u)·(R(b)v)</t>
  </si>
  <si>
    <t xml:space="preserve">R(b − a)v</t>
  </si>
  <si>
    <t xml:space="preserve">uᵀR(b − a)v</t>
  </si>
  <si>
    <t xml:space="preserve">Difference (should be 0)</t>
  </si>
  <si>
    <t xml:space="preserve">Shift both positions by the same amount: the score does not change, because only j − i enters.</t>
  </si>
  <si>
    <t xml:space="preserve">Encoding a Number in BF16 (Worked Example A.9)</t>
  </si>
  <si>
    <t xml:space="preserve">Number x (nonzero, within BF16 normal range)</t>
  </si>
  <si>
    <t xml:space="preserve">Sign bit s</t>
  </si>
  <si>
    <t xml:space="preserve">Exponent E = floor(log₂|x|)</t>
  </si>
  <si>
    <t xml:space="preserve">|x| ÷ 2^E (between 1 and 2)</t>
  </si>
  <si>
    <t xml:space="preserve">Mantissa × 128 before rounding</t>
  </si>
  <si>
    <t xml:space="preserve">Mantissa field m (nearest, ties to even)</t>
  </si>
  <si>
    <t xml:space="preserve">Carry? (m = 128 → next power of two)</t>
  </si>
  <si>
    <t xml:space="preserve">Final exponent</t>
  </si>
  <si>
    <t xml:space="preserve">Final mantissa field</t>
  </si>
  <si>
    <t xml:space="preserve">Biased exponent field = E + 127</t>
  </si>
  <si>
    <t xml:space="preserve">Exponent bits</t>
  </si>
  <si>
    <t xml:space="preserve">Mantissa bits</t>
  </si>
  <si>
    <t xml:space="preserve">Bit pattern (sign, exponent, mantissa)</t>
  </si>
  <si>
    <t xml:space="preserve">Hexadecimal pattern</t>
  </si>
  <si>
    <t xml:space="preserve">Stored value</t>
  </si>
  <si>
    <t xml:space="preserve">Rounding error (stored − x)</t>
  </si>
  <si>
    <t xml:space="preserve">Spacing between neighbors = 2^(E − 7)</t>
  </si>
  <si>
    <t xml:space="preserve">Representable value at or below |x|</t>
  </si>
  <si>
    <t xml:space="preserve">Representable value above |x|</t>
  </si>
  <si>
    <t xml:space="preserve">|x| − value at or below</t>
  </si>
  <si>
    <t xml:space="preserve">Value above − |x|</t>
  </si>
  <si>
    <t xml:space="preserve">Default 70,000 → 0x4789 = 70,144 (Worked Example 2.3). Try 1.001: it is stored as exactly 1.0, the lost update.</t>
  </si>
  <si>
    <t xml:space="preserve">x is stored as the nearer of the two representable values around it, 2^(E − 7) apart; an exact tie goes to the even mantissa (Section A.10).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</si>
</sst>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0"/>
    <numFmt numFmtId="167" formatCode="0.0000"/>
    <numFmt numFmtId="168" formatCode="0.00"/>
    <numFmt numFmtId="169" formatCode="#,##0"/>
    <numFmt numFmtId="170" formatCode="0.00E+00"/>
    <numFmt numFmtId="171" formatCode="#,##0.0"/>
    <numFmt numFmtId="172" formatCode="0.000000"/>
    <numFmt numFmtId="173" formatCode="#,##0.000"/>
    <numFmt numFmtId="174" formatCode="0.0E+00"/>
    <numFmt numFmtId="175" formatCode="#,##0.########"/>
    <numFmt numFmtId="176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30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15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4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15" hidden="false" customHeight="true" outlineLevel="0" collapsed="false">
      <c r="A9" s="6" t="s">
        <v>17</v>
      </c>
      <c r="B9" s="7" t="s">
        <v>18</v>
      </c>
      <c r="C9" s="7" t="s">
        <v>19</v>
      </c>
    </row>
    <row r="10" customFormat="false" ht="30" hidden="false" customHeight="true" outlineLevel="0" collapsed="false">
      <c r="A10" s="6" t="s">
        <v>20</v>
      </c>
      <c r="B10" s="7" t="s">
        <v>21</v>
      </c>
      <c r="C10" s="7" t="s">
        <v>22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8" t="s">
        <v>23</v>
      </c>
    </row>
    <row r="13" customFormat="false" ht="30" hidden="false" customHeight="true" outlineLevel="0" collapsed="false">
      <c r="A13" s="9" t="s">
        <v>24</v>
      </c>
      <c r="B13" s="9"/>
      <c r="C13" s="9"/>
    </row>
    <row r="14" customFormat="false" ht="15" hidden="false" customHeight="true" outlineLevel="0" collapsed="false">
      <c r="A14" s="4"/>
    </row>
  </sheetData>
  <mergeCells count="2">
    <mergeCell ref="A2:C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9"/>
  </cols>
  <sheetData>
    <row r="1" customFormat="false" ht="15.75" hidden="false" customHeight="true" outlineLevel="0" collapsed="false">
      <c r="A1" s="10" t="s">
        <v>25</v>
      </c>
    </row>
    <row r="3" customFormat="false" ht="15" hidden="false" customHeight="true" outlineLevel="0" collapsed="false">
      <c r="A3" s="11" t="s">
        <v>26</v>
      </c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  <c r="G3" s="11" t="s">
        <v>32</v>
      </c>
      <c r="H3" s="11" t="s">
        <v>33</v>
      </c>
      <c r="I3" s="11" t="s">
        <v>34</v>
      </c>
    </row>
    <row r="4" customFormat="false" ht="15" hidden="false" customHeight="true" outlineLevel="0" collapsed="false">
      <c r="A4" s="12" t="s">
        <v>35</v>
      </c>
      <c r="B4" s="13" t="n">
        <v>3</v>
      </c>
      <c r="C4" s="13" t="n">
        <v>4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</row>
    <row r="5" customFormat="false" ht="15" hidden="false" customHeight="true" outlineLevel="0" collapsed="false">
      <c r="A5" s="12" t="s">
        <v>36</v>
      </c>
      <c r="B5" s="13" t="n">
        <v>4</v>
      </c>
      <c r="C5" s="13" t="n">
        <v>3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</row>
    <row r="6" customFormat="false" ht="15" hidden="false" customHeight="true" outlineLevel="0" collapsed="false">
      <c r="A6" s="12" t="s">
        <v>37</v>
      </c>
      <c r="B6" s="14" t="n">
        <f aca="false">B4-B5</f>
        <v>-1</v>
      </c>
      <c r="C6" s="14" t="n">
        <f aca="false">C4-C5</f>
        <v>1</v>
      </c>
      <c r="D6" s="14" t="n">
        <f aca="false">D4-D5</f>
        <v>0</v>
      </c>
      <c r="E6" s="14" t="n">
        <f aca="false">E4-E5</f>
        <v>0</v>
      </c>
      <c r="F6" s="14" t="n">
        <f aca="false">F4-F5</f>
        <v>0</v>
      </c>
      <c r="G6" s="14" t="n">
        <f aca="false">G4-G5</f>
        <v>0</v>
      </c>
      <c r="H6" s="14" t="n">
        <f aca="false">H4-H5</f>
        <v>0</v>
      </c>
      <c r="I6" s="14" t="n">
        <f aca="false">I4-I5</f>
        <v>0</v>
      </c>
    </row>
    <row r="7" customFormat="false" ht="15" hidden="false" customHeight="true" outlineLevel="0" collapsed="false">
      <c r="A7" s="12" t="s">
        <v>38</v>
      </c>
      <c r="B7" s="14" t="n">
        <f aca="false">B4/$B$11</f>
        <v>0.6</v>
      </c>
      <c r="C7" s="14" t="n">
        <f aca="false">C4/$B$11</f>
        <v>0.8</v>
      </c>
      <c r="D7" s="14" t="n">
        <f aca="false">D4/$B$11</f>
        <v>0</v>
      </c>
      <c r="E7" s="14" t="n">
        <f aca="false">E4/$B$11</f>
        <v>0</v>
      </c>
      <c r="F7" s="14" t="n">
        <f aca="false">F4/$B$11</f>
        <v>0</v>
      </c>
      <c r="G7" s="14" t="n">
        <f aca="false">G4/$B$11</f>
        <v>0</v>
      </c>
      <c r="H7" s="14" t="n">
        <f aca="false">H4/$B$11</f>
        <v>0</v>
      </c>
      <c r="I7" s="14" t="n">
        <f aca="false">I4/$B$11</f>
        <v>0</v>
      </c>
    </row>
    <row r="8" customFormat="false" ht="15" hidden="false" customHeight="true" outlineLevel="0" collapsed="false">
      <c r="A8" s="12" t="s">
        <v>39</v>
      </c>
      <c r="B8" s="14" t="n">
        <f aca="false">B5/$B$12</f>
        <v>0.8</v>
      </c>
      <c r="C8" s="14" t="n">
        <f aca="false">C5/$B$12</f>
        <v>0.6</v>
      </c>
      <c r="D8" s="14" t="n">
        <f aca="false">D5/$B$12</f>
        <v>0</v>
      </c>
      <c r="E8" s="14" t="n">
        <f aca="false">E5/$B$12</f>
        <v>0</v>
      </c>
      <c r="F8" s="14" t="n">
        <f aca="false">F5/$B$12</f>
        <v>0</v>
      </c>
      <c r="G8" s="14" t="n">
        <f aca="false">G5/$B$12</f>
        <v>0</v>
      </c>
      <c r="H8" s="14" t="n">
        <f aca="false">H5/$B$12</f>
        <v>0</v>
      </c>
      <c r="I8" s="14" t="n">
        <f aca="false">I5/$B$12</f>
        <v>0</v>
      </c>
    </row>
    <row r="9" customFormat="false" ht="15" hidden="false" customHeight="true" outlineLevel="0" collapsed="false">
      <c r="A9" s="15" t="s">
        <v>40</v>
      </c>
      <c r="B9" s="16" t="n">
        <v>2</v>
      </c>
    </row>
    <row r="11" customFormat="false" ht="15" hidden="false" customHeight="true" outlineLevel="0" collapsed="false">
      <c r="A11" s="15" t="s">
        <v>41</v>
      </c>
      <c r="B11" s="14" t="n">
        <f aca="false">SQRT(SUMSQ(B4:I4))</f>
        <v>5</v>
      </c>
    </row>
    <row r="12" customFormat="false" ht="15" hidden="false" customHeight="true" outlineLevel="0" collapsed="false">
      <c r="A12" s="15" t="s">
        <v>42</v>
      </c>
      <c r="B12" s="14" t="n">
        <f aca="false">SQRT(SUMSQ(B5:I5))</f>
        <v>5</v>
      </c>
    </row>
    <row r="13" customFormat="false" ht="15" hidden="false" customHeight="true" outlineLevel="0" collapsed="false">
      <c r="A13" s="15" t="s">
        <v>43</v>
      </c>
      <c r="B13" s="14" t="n">
        <f aca="false">B11/SQRT(B9)</f>
        <v>3.53553390593274</v>
      </c>
    </row>
    <row r="14" customFormat="false" ht="15" hidden="false" customHeight="true" outlineLevel="0" collapsed="false">
      <c r="A14" s="12" t="s">
        <v>44</v>
      </c>
      <c r="B14" s="17" t="n">
        <f aca="false">SUMPRODUCT(B4:I4,B5:I5)</f>
        <v>24</v>
      </c>
    </row>
    <row r="15" customFormat="false" ht="15" hidden="false" customHeight="true" outlineLevel="0" collapsed="false">
      <c r="A15" s="12" t="s">
        <v>45</v>
      </c>
      <c r="B15" s="18" t="n">
        <f aca="false">B14/(B11*B12)</f>
        <v>0.96</v>
      </c>
    </row>
    <row r="16" customFormat="false" ht="15" hidden="false" customHeight="true" outlineLevel="0" collapsed="false">
      <c r="A16" s="15" t="s">
        <v>46</v>
      </c>
      <c r="B16" s="19" t="n">
        <f aca="false">DEGREES(ACOS(B15))</f>
        <v>16.260204708312</v>
      </c>
    </row>
    <row r="17" customFormat="false" ht="15" hidden="false" customHeight="true" outlineLevel="0" collapsed="false">
      <c r="A17" s="15" t="s">
        <v>47</v>
      </c>
      <c r="B17" s="20" t="n">
        <f aca="false">SQRT(SUMSQ(B6:I6))</f>
        <v>1.4142135623731</v>
      </c>
    </row>
    <row r="18" customFormat="false" ht="15" hidden="false" customHeight="true" outlineLevel="0" collapsed="false">
      <c r="A18" s="15" t="s">
        <v>48</v>
      </c>
      <c r="B18" s="20" t="n">
        <f aca="false">SUMXMY2(B7:I7,B8:I8)</f>
        <v>0.0800000000000001</v>
      </c>
    </row>
    <row r="19" customFormat="false" ht="15" hidden="false" customHeight="true" outlineLevel="0" collapsed="false">
      <c r="A19" s="15" t="s">
        <v>49</v>
      </c>
      <c r="B19" s="20" t="n">
        <f aca="false">2-2*B15</f>
        <v>0.0800000000000001</v>
      </c>
    </row>
    <row r="21" customFormat="false" ht="15" hidden="false" customHeight="true" outlineLevel="0" collapsed="false">
      <c r="A21" s="2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10" t="s">
        <v>51</v>
      </c>
    </row>
    <row r="3" customFormat="false" ht="15" hidden="false" customHeight="true" outlineLevel="0" collapsed="false">
      <c r="A3" s="15" t="s">
        <v>52</v>
      </c>
      <c r="B3" s="22" t="n">
        <v>1000</v>
      </c>
    </row>
    <row r="4" customFormat="false" ht="15" hidden="false" customHeight="true" outlineLevel="0" collapsed="false">
      <c r="A4" s="15" t="s">
        <v>53</v>
      </c>
      <c r="B4" s="13" t="n">
        <v>0.1</v>
      </c>
    </row>
    <row r="6" customFormat="false" ht="15" hidden="false" customHeight="true" outlineLevel="0" collapsed="false">
      <c r="A6" s="15" t="s">
        <v>54</v>
      </c>
      <c r="B6" s="23" t="n">
        <f aca="false">IFERROR(B4^B3,0)</f>
        <v>0</v>
      </c>
    </row>
    <row r="7" customFormat="false" ht="15" hidden="false" customHeight="true" outlineLevel="0" collapsed="false">
      <c r="A7" s="15" t="s">
        <v>55</v>
      </c>
      <c r="B7" s="24" t="n">
        <f aca="false">B3*LOG10(B4)</f>
        <v>-1000</v>
      </c>
    </row>
    <row r="8" customFormat="false" ht="15" hidden="false" customHeight="true" outlineLevel="0" collapsed="false">
      <c r="A8" s="15" t="s">
        <v>56</v>
      </c>
      <c r="B8" s="24" t="n">
        <f aca="false">B3*LN(B4)</f>
        <v>-2302.58509299405</v>
      </c>
    </row>
    <row r="9" customFormat="false" ht="15" hidden="false" customHeight="true" outlineLevel="0" collapsed="false">
      <c r="A9" s="15" t="s">
        <v>57</v>
      </c>
      <c r="B9" s="24" t="n">
        <f aca="false">B3*LOG(B4,2)</f>
        <v>-3321.92809488736</v>
      </c>
    </row>
    <row r="10" customFormat="false" ht="15" hidden="false" customHeight="true" outlineLevel="0" collapsed="false">
      <c r="A10" s="15" t="s">
        <v>58</v>
      </c>
      <c r="B10" s="14" t="n">
        <f aca="false">-B8/B3</f>
        <v>2.30258509299405</v>
      </c>
    </row>
    <row r="11" customFormat="false" ht="15" hidden="false" customHeight="true" outlineLevel="0" collapsed="false">
      <c r="A11" s="15" t="s">
        <v>59</v>
      </c>
      <c r="B11" s="14" t="n">
        <f aca="false">-B9/B3</f>
        <v>3.32192809488736</v>
      </c>
    </row>
    <row r="12" customFormat="false" ht="15" hidden="false" customHeight="true" outlineLevel="0" collapsed="false">
      <c r="A12" s="12" t="s">
        <v>60</v>
      </c>
      <c r="B12" s="25" t="n">
        <f aca="false">EXP(B10)</f>
        <v>10</v>
      </c>
    </row>
    <row r="13" customFormat="false" ht="15" hidden="false" customHeight="true" outlineLevel="0" collapsed="false">
      <c r="A13" s="15" t="s">
        <v>61</v>
      </c>
      <c r="B13" s="19" t="n">
        <f aca="false">2^B11</f>
        <v>10</v>
      </c>
    </row>
    <row r="15" customFormat="false" ht="15" hidden="false" customHeight="true" outlineLevel="0" collapsed="false">
      <c r="A15" s="2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3"/>
  </cols>
  <sheetData>
    <row r="1" customFormat="false" ht="15.75" hidden="false" customHeight="true" outlineLevel="0" collapsed="false">
      <c r="A1" s="10" t="s">
        <v>63</v>
      </c>
    </row>
    <row r="3" customFormat="false" ht="15" hidden="false" customHeight="true" outlineLevel="0" collapsed="false">
      <c r="A3" s="11" t="s">
        <v>64</v>
      </c>
      <c r="B3" s="11" t="s">
        <v>65</v>
      </c>
      <c r="C3" s="11" t="s">
        <v>66</v>
      </c>
      <c r="D3" s="11" t="s">
        <v>67</v>
      </c>
      <c r="E3" s="11" t="s">
        <v>68</v>
      </c>
    </row>
    <row r="4" customFormat="false" ht="15" hidden="false" customHeight="true" outlineLevel="0" collapsed="false">
      <c r="A4" s="15" t="s">
        <v>69</v>
      </c>
      <c r="B4" s="13" t="n">
        <v>0.5</v>
      </c>
      <c r="C4" s="13" t="n">
        <v>0.25</v>
      </c>
      <c r="D4" s="20" t="n">
        <f aca="false">IF(B4&gt;0,-B4*LOG(B4,2),0)</f>
        <v>0.5</v>
      </c>
      <c r="E4" s="20" t="n">
        <f aca="false">IF(B4&gt;0,IF(C4&gt;0,-B4*LOG(C4,2),"∞"),0)</f>
        <v>1</v>
      </c>
    </row>
    <row r="5" customFormat="false" ht="15" hidden="false" customHeight="true" outlineLevel="0" collapsed="false">
      <c r="A5" s="15" t="s">
        <v>70</v>
      </c>
      <c r="B5" s="13" t="n">
        <v>0.25</v>
      </c>
      <c r="C5" s="13" t="n">
        <v>0.5</v>
      </c>
      <c r="D5" s="20" t="n">
        <f aca="false">IF(B5&gt;0,-B5*LOG(B5,2),0)</f>
        <v>0.5</v>
      </c>
      <c r="E5" s="20" t="n">
        <f aca="false">IF(B5&gt;0,IF(C5&gt;0,-B5*LOG(C5,2),"∞"),0)</f>
        <v>0.25</v>
      </c>
    </row>
    <row r="6" customFormat="false" ht="15" hidden="false" customHeight="true" outlineLevel="0" collapsed="false">
      <c r="A6" s="15" t="s">
        <v>71</v>
      </c>
      <c r="B6" s="13" t="n">
        <v>0.25</v>
      </c>
      <c r="C6" s="13" t="n">
        <v>0.25</v>
      </c>
      <c r="D6" s="20" t="n">
        <f aca="false">IF(B6&gt;0,-B6*LOG(B6,2),0)</f>
        <v>0.5</v>
      </c>
      <c r="E6" s="20" t="n">
        <f aca="false">IF(B6&gt;0,IF(C6&gt;0,-B6*LOG(C6,2),"∞"),0)</f>
        <v>0.5</v>
      </c>
    </row>
    <row r="7" customFormat="false" ht="15" hidden="false" customHeight="true" outlineLevel="0" collapsed="false">
      <c r="A7" s="15" t="s">
        <v>72</v>
      </c>
      <c r="B7" s="13" t="n">
        <v>0</v>
      </c>
      <c r="C7" s="13" t="n">
        <v>0</v>
      </c>
      <c r="D7" s="20" t="n">
        <f aca="false">IF(B7&gt;0,-B7*LOG(B7,2),0)</f>
        <v>0</v>
      </c>
      <c r="E7" s="20" t="n">
        <f aca="false">IF(B7&gt;0,IF(C7&gt;0,-B7*LOG(C7,2),"∞"),0)</f>
        <v>0</v>
      </c>
    </row>
    <row r="8" customFormat="false" ht="15" hidden="false" customHeight="true" outlineLevel="0" collapsed="false">
      <c r="A8" s="15" t="s">
        <v>73</v>
      </c>
      <c r="B8" s="13" t="n">
        <v>0</v>
      </c>
      <c r="C8" s="13" t="n">
        <v>0</v>
      </c>
      <c r="D8" s="20" t="n">
        <f aca="false">IF(B8&gt;0,-B8*LOG(B8,2),0)</f>
        <v>0</v>
      </c>
      <c r="E8" s="20" t="n">
        <f aca="false">IF(B8&gt;0,IF(C8&gt;0,-B8*LOG(C8,2),"∞"),0)</f>
        <v>0</v>
      </c>
    </row>
    <row r="9" customFormat="false" ht="15" hidden="false" customHeight="true" outlineLevel="0" collapsed="false">
      <c r="A9" s="12" t="s">
        <v>74</v>
      </c>
      <c r="B9" s="17" t="n">
        <f aca="false">SUM(B4:B8)</f>
        <v>1</v>
      </c>
      <c r="C9" s="17" t="n">
        <f aca="false">SUM(C4:C8)</f>
        <v>1</v>
      </c>
    </row>
    <row r="11" customFormat="false" ht="15" hidden="false" customHeight="true" outlineLevel="0" collapsed="false">
      <c r="A11" s="12" t="s">
        <v>75</v>
      </c>
      <c r="B11" s="18" t="n">
        <f aca="false">SUM(D4:D8)</f>
        <v>1.5</v>
      </c>
    </row>
    <row r="12" customFormat="false" ht="15" hidden="false" customHeight="true" outlineLevel="0" collapsed="false">
      <c r="A12" s="12" t="s">
        <v>76</v>
      </c>
      <c r="B12" s="18" t="n">
        <f aca="false">IF(COUNTIF(E4:E8,"∞")&gt;0,"∞",SUM(E4:E8))</f>
        <v>1.75</v>
      </c>
    </row>
    <row r="13" customFormat="false" ht="15" hidden="false" customHeight="true" outlineLevel="0" collapsed="false">
      <c r="A13" s="12" t="s">
        <v>77</v>
      </c>
      <c r="B13" s="18" t="n">
        <f aca="false">IF(ISNUMBER(B12),B12-B11,"∞")</f>
        <v>0.25</v>
      </c>
    </row>
    <row r="14" customFormat="false" ht="15" hidden="false" customHeight="true" outlineLevel="0" collapsed="false">
      <c r="A14" s="12" t="s">
        <v>78</v>
      </c>
      <c r="B14" s="17" t="n">
        <f aca="false">2^B11</f>
        <v>2.82842712474619</v>
      </c>
    </row>
    <row r="15" customFormat="false" ht="15" hidden="false" customHeight="true" outlineLevel="0" collapsed="false">
      <c r="A15" s="12" t="s">
        <v>79</v>
      </c>
      <c r="B15" s="17" t="n">
        <f aca="false">IF(ISNUMBER(B12),2^B12,"∞")</f>
        <v>3.36358566101486</v>
      </c>
    </row>
    <row r="17" customFormat="false" ht="15" hidden="false" customHeight="true" outlineLevel="0" collapsed="false">
      <c r="A17" s="21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3"/>
  </cols>
  <sheetData>
    <row r="1" customFormat="false" ht="15.75" hidden="false" customHeight="true" outlineLevel="0" collapsed="false">
      <c r="A1" s="10" t="s">
        <v>81</v>
      </c>
    </row>
    <row r="3" customFormat="false" ht="15" hidden="false" customHeight="true" outlineLevel="0" collapsed="false">
      <c r="A3" s="15" t="s">
        <v>82</v>
      </c>
      <c r="B3" s="26" t="n">
        <v>1</v>
      </c>
    </row>
    <row r="4" customFormat="false" ht="15" hidden="false" customHeight="true" outlineLevel="0" collapsed="false">
      <c r="A4" s="15" t="s">
        <v>83</v>
      </c>
      <c r="B4" s="16" t="n">
        <v>2</v>
      </c>
    </row>
    <row r="5" customFormat="false" ht="15" hidden="false" customHeight="true" outlineLevel="0" collapsed="false">
      <c r="A5" s="15" t="s">
        <v>84</v>
      </c>
      <c r="B5" s="27" t="n">
        <v>0.001</v>
      </c>
    </row>
    <row r="7" customFormat="false" ht="30" hidden="false" customHeight="true" outlineLevel="0" collapsed="false">
      <c r="A7" s="11" t="s">
        <v>85</v>
      </c>
      <c r="B7" s="11" t="s">
        <v>86</v>
      </c>
      <c r="C7" s="11" t="s">
        <v>87</v>
      </c>
      <c r="D7" s="11" t="s">
        <v>88</v>
      </c>
      <c r="E7" s="11" t="s">
        <v>89</v>
      </c>
      <c r="F7" s="11" t="s">
        <v>90</v>
      </c>
      <c r="G7" s="11" t="s">
        <v>91</v>
      </c>
      <c r="H7" s="11" t="s">
        <v>92</v>
      </c>
      <c r="I7" s="11" t="s">
        <v>93</v>
      </c>
      <c r="J7" s="11" t="s">
        <v>94</v>
      </c>
      <c r="K7" s="11" t="s">
        <v>95</v>
      </c>
    </row>
    <row r="8" customFormat="false" ht="15" hidden="false" customHeight="true" outlineLevel="0" collapsed="false">
      <c r="A8" s="15" t="n">
        <v>1</v>
      </c>
      <c r="B8" s="13" t="n">
        <v>2</v>
      </c>
      <c r="C8" s="20" t="n">
        <f aca="false">IF(ISNUMBER(B8),B8/$B$3-MAX($B$8:$B$13)/$B$3,"")</f>
        <v>0</v>
      </c>
      <c r="D8" s="20" t="n">
        <f aca="false">IF(ISNUMBER(B8),EXP(C8),0)</f>
        <v>1</v>
      </c>
      <c r="E8" s="20" t="n">
        <f aca="false">IF(ISNUMBER(B8),D8/SUM($D$8:$D$13),"")</f>
        <v>0.665240955774822</v>
      </c>
      <c r="F8" s="28" t="n">
        <f aca="false">IF(A8=$B$4,1,0)</f>
        <v>0</v>
      </c>
      <c r="G8" s="18" t="n">
        <f aca="false">IF(ISNUMBER(B8),(E8-F8)/$B$3,"")</f>
        <v>0.665240955774822</v>
      </c>
      <c r="H8" s="29" t="n">
        <f aca="false">IF(ISNUMBER(B8),-(INDEX($B$8:$B$13,$B$4)/$B$3-MAX($B$8:$B$13)/$B$3)-IF(A8=$B$4,+$B$5/$B$3,0)+LN(SUM($D$8:$D$13)+D8*(EXP(+$B$5/$B$3)-1)),"")</f>
        <v>1.4082713167356</v>
      </c>
      <c r="I8" s="29" t="n">
        <f aca="false">IF(ISNUMBER(B8),-(INDEX($B$8:$B$13,$B$4)/$B$3-MAX($B$8:$B$13)/$B$3)-IF(A8=$B$4,-$B$5/$B$3,0)+LN(SUM($D$8:$D$13)+D8*(EXP(-$B$5/$B$3)-1)),"")</f>
        <v>1.40694083484858</v>
      </c>
      <c r="J8" s="20" t="n">
        <f aca="false">IF(ISNUMBER(B8),(H8-$B$17)/$B$5,"")</f>
        <v>0.665352291218779</v>
      </c>
      <c r="K8" s="29" t="n">
        <f aca="false">IF(ISNUMBER(B8),(H8-I8)/(2*$B$5),"")</f>
        <v>0.665240943508616</v>
      </c>
    </row>
    <row r="9" customFormat="false" ht="15" hidden="false" customHeight="true" outlineLevel="0" collapsed="false">
      <c r="A9" s="15" t="n">
        <v>2</v>
      </c>
      <c r="B9" s="13" t="n">
        <v>1</v>
      </c>
      <c r="C9" s="20" t="n">
        <f aca="false">IF(ISNUMBER(B9),B9/$B$3-MAX($B$8:$B$13)/$B$3,"")</f>
        <v>-1</v>
      </c>
      <c r="D9" s="20" t="n">
        <f aca="false">IF(ISNUMBER(B9),EXP(C9),0)</f>
        <v>0.367879441171442</v>
      </c>
      <c r="E9" s="20" t="n">
        <f aca="false">IF(ISNUMBER(B9),D9/SUM($D$8:$D$13),"")</f>
        <v>0.244728471054798</v>
      </c>
      <c r="F9" s="28" t="n">
        <f aca="false">IF(A9=$B$4,1,0)</f>
        <v>1</v>
      </c>
      <c r="G9" s="18" t="n">
        <f aca="false">IF(ISNUMBER(B9),(E9-F9)/$B$3,"")</f>
        <v>-0.755271528945202</v>
      </c>
      <c r="H9" s="29" t="n">
        <f aca="false">IF(ISNUMBER(B9),-(INDEX($B$8:$B$13,$B$4)/$B$3-MAX($B$8:$B$13)/$B$3)-IF(A9=$B$4,+$B$5/$B$3,0)+LN(SUM($D$8:$D$13)+D9*(EXP(+$B$5/$B$3)-1)),"")</f>
        <v>1.40685078534939</v>
      </c>
      <c r="I9" s="29" t="n">
        <f aca="false">IF(ISNUMBER(B9),-(INDEX($B$8:$B$13,$B$4)/$B$3-MAX($B$8:$B$13)/$B$3)-IF(A9=$B$4,-$B$5/$B$3,0)+LN(SUM($D$8:$D$13)+D9*(EXP(-$B$5/$B$3)-1)),"")</f>
        <v>1.40836132837582</v>
      </c>
      <c r="J9" s="20" t="n">
        <f aca="false">IF(ISNUMBER(B9),(H9-$B$17)/$B$5,"")</f>
        <v>-0.755179094994896</v>
      </c>
      <c r="K9" s="29" t="n">
        <f aca="false">IF(ISNUMBER(B9),(H9-I9)/(2*$B$5),"")</f>
        <v>-0.755271513217304</v>
      </c>
    </row>
    <row r="10" customFormat="false" ht="15" hidden="false" customHeight="true" outlineLevel="0" collapsed="false">
      <c r="A10" s="15" t="n">
        <v>3</v>
      </c>
      <c r="B10" s="13" t="n">
        <v>0</v>
      </c>
      <c r="C10" s="20" t="n">
        <f aca="false">IF(ISNUMBER(B10),B10/$B$3-MAX($B$8:$B$13)/$B$3,"")</f>
        <v>-2</v>
      </c>
      <c r="D10" s="20" t="n">
        <f aca="false">IF(ISNUMBER(B10),EXP(C10),0)</f>
        <v>0.135335283236613</v>
      </c>
      <c r="E10" s="20" t="n">
        <f aca="false">IF(ISNUMBER(B10),D10/SUM($D$8:$D$13),"")</f>
        <v>0.0900305731703805</v>
      </c>
      <c r="F10" s="28" t="n">
        <f aca="false">IF(A10=$B$4,1,0)</f>
        <v>0</v>
      </c>
      <c r="G10" s="18" t="n">
        <f aca="false">IF(ISNUMBER(B10),(E10-F10)/$B$3,"")</f>
        <v>0.0900305731703805</v>
      </c>
      <c r="H10" s="29" t="n">
        <f aca="false">IF(ISNUMBER(B10),-(INDEX($B$8:$B$13,$B$4)/$B$3-MAX($B$8:$B$13)/$B$3)-IF(A10=$B$4,+$B$5/$B$3,0)+LN(SUM($D$8:$D$13)+D10*(EXP(+$B$5/$B$3)-1)),"")</f>
        <v>1.40769603599128</v>
      </c>
      <c r="I10" s="29" t="n">
        <f aca="false">IF(ISNUMBER(B10),-(INDEX($B$8:$B$13,$B$4)/$B$3-MAX($B$8:$B$13)/$B$3)-IF(A10=$B$4,-$B$5/$B$3,0)+LN(SUM($D$8:$D$13)+D10*(EXP(-$B$5/$B$3)-1)),"")</f>
        <v>1.40751597482255</v>
      </c>
      <c r="J10" s="20" t="n">
        <f aca="false">IF(ISNUMBER(B10),(H10-$B$17)/$B$5,"")</f>
        <v>0.0900715469023261</v>
      </c>
      <c r="K10" s="29" t="n">
        <f aca="false">IF(ISNUMBER(B10),(H10-I10)/(2*$B$5),"")</f>
        <v>0.0900305843659632</v>
      </c>
    </row>
    <row r="11" customFormat="false" ht="15" hidden="false" customHeight="true" outlineLevel="0" collapsed="false">
      <c r="A11" s="15" t="n">
        <v>4</v>
      </c>
      <c r="B11" s="13"/>
      <c r="C11" s="20" t="str">
        <f aca="false">IF(ISNUMBER(B11),B11/$B$3-MAX($B$8:$B$13)/$B$3,"")</f>
        <v/>
      </c>
      <c r="D11" s="20" t="n">
        <f aca="false">IF(ISNUMBER(B11),EXP(C11),0)</f>
        <v>0</v>
      </c>
      <c r="E11" s="20" t="str">
        <f aca="false">IF(ISNUMBER(B11),D11/SUM($D$8:$D$13),"")</f>
        <v/>
      </c>
      <c r="F11" s="28" t="n">
        <f aca="false">IF(A11=$B$4,1,0)</f>
        <v>0</v>
      </c>
      <c r="G11" s="18" t="str">
        <f aca="false">IF(ISNUMBER(B11),(E11-F11)/$B$3,"")</f>
        <v/>
      </c>
      <c r="H11" s="29" t="str">
        <f aca="false">IF(ISNUMBER(B11),-(INDEX($B$8:$B$13,$B$4)/$B$3-MAX($B$8:$B$13)/$B$3)-IF(A11=$B$4,+$B$5/$B$3,0)+LN(SUM($D$8:$D$13)+D11*(EXP(+$B$5/$B$3)-1)),"")</f>
        <v/>
      </c>
      <c r="I11" s="29" t="str">
        <f aca="false">IF(ISNUMBER(B11),-(INDEX($B$8:$B$13,$B$4)/$B$3-MAX($B$8:$B$13)/$B$3)-IF(A11=$B$4,-$B$5/$B$3,0)+LN(SUM($D$8:$D$13)+D11*(EXP(-$B$5/$B$3)-1)),"")</f>
        <v/>
      </c>
      <c r="J11" s="20" t="str">
        <f aca="false">IF(ISNUMBER(B11),(H11-$B$17)/$B$5,"")</f>
        <v/>
      </c>
      <c r="K11" s="29" t="str">
        <f aca="false">IF(ISNUMBER(B11),(H11-I11)/(2*$B$5),"")</f>
        <v/>
      </c>
    </row>
    <row r="12" customFormat="false" ht="15" hidden="false" customHeight="true" outlineLevel="0" collapsed="false">
      <c r="A12" s="15" t="n">
        <v>5</v>
      </c>
      <c r="B12" s="13"/>
      <c r="C12" s="20" t="str">
        <f aca="false">IF(ISNUMBER(B12),B12/$B$3-MAX($B$8:$B$13)/$B$3,"")</f>
        <v/>
      </c>
      <c r="D12" s="20" t="n">
        <f aca="false">IF(ISNUMBER(B12),EXP(C12),0)</f>
        <v>0</v>
      </c>
      <c r="E12" s="20" t="str">
        <f aca="false">IF(ISNUMBER(B12),D12/SUM($D$8:$D$13),"")</f>
        <v/>
      </c>
      <c r="F12" s="28" t="n">
        <f aca="false">IF(A12=$B$4,1,0)</f>
        <v>0</v>
      </c>
      <c r="G12" s="18" t="str">
        <f aca="false">IF(ISNUMBER(B12),(E12-F12)/$B$3,"")</f>
        <v/>
      </c>
      <c r="H12" s="29" t="str">
        <f aca="false">IF(ISNUMBER(B12),-(INDEX($B$8:$B$13,$B$4)/$B$3-MAX($B$8:$B$13)/$B$3)-IF(A12=$B$4,+$B$5/$B$3,0)+LN(SUM($D$8:$D$13)+D12*(EXP(+$B$5/$B$3)-1)),"")</f>
        <v/>
      </c>
      <c r="I12" s="29" t="str">
        <f aca="false">IF(ISNUMBER(B12),-(INDEX($B$8:$B$13,$B$4)/$B$3-MAX($B$8:$B$13)/$B$3)-IF(A12=$B$4,-$B$5/$B$3,0)+LN(SUM($D$8:$D$13)+D12*(EXP(-$B$5/$B$3)-1)),"")</f>
        <v/>
      </c>
      <c r="J12" s="20" t="str">
        <f aca="false">IF(ISNUMBER(B12),(H12-$B$17)/$B$5,"")</f>
        <v/>
      </c>
      <c r="K12" s="29" t="str">
        <f aca="false">IF(ISNUMBER(B12),(H12-I12)/(2*$B$5),"")</f>
        <v/>
      </c>
    </row>
    <row r="13" customFormat="false" ht="15" hidden="false" customHeight="true" outlineLevel="0" collapsed="false">
      <c r="A13" s="15" t="n">
        <v>6</v>
      </c>
      <c r="B13" s="13"/>
      <c r="C13" s="20" t="str">
        <f aca="false">IF(ISNUMBER(B13),B13/$B$3-MAX($B$8:$B$13)/$B$3,"")</f>
        <v/>
      </c>
      <c r="D13" s="20" t="n">
        <f aca="false">IF(ISNUMBER(B13),EXP(C13),0)</f>
        <v>0</v>
      </c>
      <c r="E13" s="20" t="str">
        <f aca="false">IF(ISNUMBER(B13),D13/SUM($D$8:$D$13),"")</f>
        <v/>
      </c>
      <c r="F13" s="28" t="n">
        <f aca="false">IF(A13=$B$4,1,0)</f>
        <v>0</v>
      </c>
      <c r="G13" s="18" t="str">
        <f aca="false">IF(ISNUMBER(B13),(E13-F13)/$B$3,"")</f>
        <v/>
      </c>
      <c r="H13" s="29" t="str">
        <f aca="false">IF(ISNUMBER(B13),-(INDEX($B$8:$B$13,$B$4)/$B$3-MAX($B$8:$B$13)/$B$3)-IF(A13=$B$4,+$B$5/$B$3,0)+LN(SUM($D$8:$D$13)+D13*(EXP(+$B$5/$B$3)-1)),"")</f>
        <v/>
      </c>
      <c r="I13" s="29" t="str">
        <f aca="false">IF(ISNUMBER(B13),-(INDEX($B$8:$B$13,$B$4)/$B$3-MAX($B$8:$B$13)/$B$3)-IF(A13=$B$4,-$B$5/$B$3,0)+LN(SUM($D$8:$D$13)+D13*(EXP(-$B$5/$B$3)-1)),"")</f>
        <v/>
      </c>
      <c r="J13" s="20" t="str">
        <f aca="false">IF(ISNUMBER(B13),(H13-$B$17)/$B$5,"")</f>
        <v/>
      </c>
      <c r="K13" s="29" t="str">
        <f aca="false">IF(ISNUMBER(B13),(H13-I13)/(2*$B$5),"")</f>
        <v/>
      </c>
    </row>
    <row r="15" customFormat="false" ht="15" hidden="false" customHeight="true" outlineLevel="0" collapsed="false">
      <c r="A15" s="12" t="s">
        <v>96</v>
      </c>
      <c r="B15" s="18" t="n">
        <f aca="false">MAX(B8:B13)/B3+LN(SUM(D8:D13))</f>
        <v>2.40760596444438</v>
      </c>
    </row>
    <row r="16" customFormat="false" ht="15" hidden="false" customHeight="true" outlineLevel="0" collapsed="false">
      <c r="A16" s="12" t="s">
        <v>97</v>
      </c>
      <c r="B16" s="18" t="n">
        <f aca="false">INDEX(E8:E13,B4)</f>
        <v>0.244728471054798</v>
      </c>
    </row>
    <row r="17" customFormat="false" ht="15" hidden="false" customHeight="true" outlineLevel="0" collapsed="false">
      <c r="A17" s="12" t="s">
        <v>98</v>
      </c>
      <c r="B17" s="30" t="n">
        <f aca="false">-LN(B16)</f>
        <v>1.40760596444438</v>
      </c>
    </row>
    <row r="18" customFormat="false" ht="15" hidden="false" customHeight="true" outlineLevel="0" collapsed="false">
      <c r="A18" s="15" t="s">
        <v>99</v>
      </c>
      <c r="B18" s="20" t="n">
        <f aca="false">SUM(G8:G13)</f>
        <v>0</v>
      </c>
    </row>
    <row r="20" customFormat="false" ht="15" hidden="false" customHeight="true" outlineLevel="0" collapsed="false">
      <c r="A20" s="15" t="s">
        <v>100</v>
      </c>
      <c r="B20" s="22" t="n">
        <v>998</v>
      </c>
    </row>
    <row r="21" customFormat="false" ht="15" hidden="false" customHeight="true" outlineLevel="0" collapsed="false">
      <c r="A21" s="15" t="s">
        <v>101</v>
      </c>
      <c r="B21" s="31" t="n">
        <f aca="false">MAX(B8:B13)+B20</f>
        <v>1000</v>
      </c>
    </row>
    <row r="22" customFormat="false" ht="15" hidden="false" customHeight="true" outlineLevel="0" collapsed="false">
      <c r="A22" s="15" t="s">
        <v>102</v>
      </c>
      <c r="B22" s="20" t="str">
        <f aca="false">IFERROR(EXP(B21/B3),"overflow")</f>
        <v>overflow</v>
      </c>
    </row>
    <row r="23" customFormat="false" ht="15" hidden="false" customHeight="true" outlineLevel="0" collapsed="false">
      <c r="A23" s="15" t="s">
        <v>103</v>
      </c>
      <c r="B23" s="20" t="n">
        <f aca="false">SUM(D8:D13)</f>
        <v>1.50321472440806</v>
      </c>
    </row>
    <row r="24" customFormat="false" ht="15" hidden="false" customHeight="true" outlineLevel="0" collapsed="false">
      <c r="A24" s="12" t="s">
        <v>104</v>
      </c>
      <c r="B24" s="32" t="n">
        <f aca="false">B21/B3+LN(B23)</f>
        <v>1000.40760596444</v>
      </c>
    </row>
    <row r="25" customFormat="false" ht="15" hidden="false" customHeight="true" outlineLevel="0" collapsed="false">
      <c r="A25" s="15" t="s">
        <v>105</v>
      </c>
      <c r="B25" s="14" t="n">
        <f aca="false">(B8+B20)/B3-B24</f>
        <v>-0.407605964444429</v>
      </c>
    </row>
    <row r="26" customFormat="false" ht="15" hidden="false" customHeight="true" outlineLevel="0" collapsed="false">
      <c r="A26" s="12" t="s">
        <v>106</v>
      </c>
      <c r="B26" s="17" t="n">
        <f aca="false">EXP(B25)</f>
        <v>0.66524095577479</v>
      </c>
    </row>
    <row r="28" customFormat="false" ht="15" hidden="false" customHeight="true" outlineLevel="0" collapsed="false">
      <c r="A28" s="21" t="s">
        <v>107</v>
      </c>
    </row>
    <row r="29" customFormat="false" ht="15" hidden="false" customHeight="true" outlineLevel="0" collapsed="false">
      <c r="A29" s="21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</cols>
  <sheetData>
    <row r="1" customFormat="false" ht="15.75" hidden="false" customHeight="true" outlineLevel="0" collapsed="false">
      <c r="A1" s="10" t="s">
        <v>109</v>
      </c>
    </row>
    <row r="3" customFormat="false" ht="15" hidden="false" customHeight="true" outlineLevel="0" collapsed="false">
      <c r="A3" s="15" t="s">
        <v>110</v>
      </c>
      <c r="B3" s="13" t="n">
        <v>0.1</v>
      </c>
    </row>
    <row r="4" customFormat="false" ht="15" hidden="false" customHeight="true" outlineLevel="0" collapsed="false">
      <c r="A4" s="15" t="s">
        <v>111</v>
      </c>
      <c r="B4" s="13" t="n">
        <v>5</v>
      </c>
    </row>
    <row r="5" customFormat="false" ht="15" hidden="false" customHeight="true" outlineLevel="0" collapsed="false">
      <c r="A5" s="15" t="s">
        <v>112</v>
      </c>
      <c r="B5" s="13" t="n">
        <v>3</v>
      </c>
    </row>
    <row r="7" customFormat="false" ht="15" hidden="false" customHeight="true" outlineLevel="0" collapsed="false">
      <c r="A7" s="11" t="s">
        <v>113</v>
      </c>
      <c r="B7" s="11" t="s">
        <v>114</v>
      </c>
      <c r="C7" s="11" t="s">
        <v>115</v>
      </c>
    </row>
    <row r="8" customFormat="false" ht="15" hidden="false" customHeight="true" outlineLevel="0" collapsed="false">
      <c r="A8" s="15" t="s">
        <v>116</v>
      </c>
      <c r="B8" s="13" t="n">
        <v>1</v>
      </c>
      <c r="C8" s="13" t="n">
        <v>0</v>
      </c>
    </row>
    <row r="9" customFormat="false" ht="15" hidden="false" customHeight="true" outlineLevel="0" collapsed="false">
      <c r="A9" s="15" t="s">
        <v>117</v>
      </c>
      <c r="B9" s="13" t="n">
        <v>1</v>
      </c>
      <c r="C9" s="13" t="n">
        <v>0</v>
      </c>
    </row>
    <row r="11" customFormat="false" ht="15" hidden="false" customHeight="true" outlineLevel="0" collapsed="false">
      <c r="A11" s="15" t="s">
        <v>118</v>
      </c>
      <c r="B11" s="14" t="n">
        <f aca="false">B4*B3</f>
        <v>0.5</v>
      </c>
    </row>
    <row r="12" customFormat="false" ht="15" hidden="false" customHeight="true" outlineLevel="0" collapsed="false">
      <c r="A12" s="15" t="s">
        <v>119</v>
      </c>
      <c r="B12" s="14" t="n">
        <f aca="false">B5*B3</f>
        <v>0.3</v>
      </c>
    </row>
    <row r="13" customFormat="false" ht="15" hidden="false" customHeight="true" outlineLevel="0" collapsed="false">
      <c r="A13" s="15" t="s">
        <v>120</v>
      </c>
      <c r="B13" s="20" t="n">
        <f aca="false">COS(B11)*B8-SIN(B11)*C8</f>
        <v>0.877582561890373</v>
      </c>
      <c r="C13" s="20" t="n">
        <f aca="false">SIN(B11)*B8+COS(B11)*C8</f>
        <v>0.479425538604203</v>
      </c>
    </row>
    <row r="14" customFormat="false" ht="15" hidden="false" customHeight="true" outlineLevel="0" collapsed="false">
      <c r="A14" s="15" t="s">
        <v>121</v>
      </c>
      <c r="B14" s="20" t="n">
        <f aca="false">COS(B12)*B9-SIN(B12)*C9</f>
        <v>0.955336489125606</v>
      </c>
      <c r="C14" s="20" t="n">
        <f aca="false">SIN(B12)*B9+COS(B12)*C9</f>
        <v>0.29552020666134</v>
      </c>
    </row>
    <row r="15" customFormat="false" ht="15" hidden="false" customHeight="true" outlineLevel="0" collapsed="false">
      <c r="A15" s="12" t="s">
        <v>122</v>
      </c>
      <c r="B15" s="30" t="n">
        <f aca="false">B13*B14+C13*C14</f>
        <v>0.980066577841242</v>
      </c>
    </row>
    <row r="16" customFormat="false" ht="15" hidden="false" customHeight="true" outlineLevel="0" collapsed="false">
      <c r="A16" s="15" t="s">
        <v>123</v>
      </c>
      <c r="B16" s="20" t="n">
        <f aca="false">COS(B12-B11)*B9-SIN(B12-B11)*C9</f>
        <v>0.980066577841242</v>
      </c>
      <c r="C16" s="20" t="n">
        <f aca="false">SIN(B12-B11)*B9+COS(B12-B11)*C9</f>
        <v>-0.198669330795061</v>
      </c>
    </row>
    <row r="17" customFormat="false" ht="15" hidden="false" customHeight="true" outlineLevel="0" collapsed="false">
      <c r="A17" s="12" t="s">
        <v>124</v>
      </c>
      <c r="B17" s="30" t="n">
        <f aca="false">B8*B16+C8*C16</f>
        <v>0.980066577841242</v>
      </c>
    </row>
    <row r="18" customFormat="false" ht="15" hidden="false" customHeight="true" outlineLevel="0" collapsed="false">
      <c r="A18" s="15" t="s">
        <v>125</v>
      </c>
      <c r="B18" s="33" t="n">
        <f aca="false">B15-B17</f>
        <v>0</v>
      </c>
    </row>
    <row r="20" customFormat="false" ht="15" hidden="false" customHeight="true" outlineLevel="0" collapsed="false">
      <c r="A20" s="21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</cols>
  <sheetData>
    <row r="1" customFormat="false" ht="15.75" hidden="false" customHeight="true" outlineLevel="0" collapsed="false">
      <c r="A1" s="10" t="s">
        <v>127</v>
      </c>
    </row>
    <row r="3" customFormat="false" ht="15" hidden="false" customHeight="true" outlineLevel="0" collapsed="false">
      <c r="A3" s="15" t="s">
        <v>128</v>
      </c>
      <c r="B3" s="34" t="n">
        <v>70000</v>
      </c>
    </row>
    <row r="5" customFormat="false" ht="15" hidden="false" customHeight="true" outlineLevel="0" collapsed="false">
      <c r="A5" s="15" t="s">
        <v>129</v>
      </c>
      <c r="B5" s="28" t="n">
        <f aca="false">IF(B3&lt;0,1,0)</f>
        <v>0</v>
      </c>
    </row>
    <row r="6" customFormat="false" ht="15" hidden="false" customHeight="true" outlineLevel="0" collapsed="false">
      <c r="A6" s="15" t="s">
        <v>130</v>
      </c>
      <c r="B6" s="28" t="n">
        <f aca="false">INT(LOG(ABS(B3),2)+0.000000000001)</f>
        <v>16</v>
      </c>
    </row>
    <row r="7" customFormat="false" ht="15" hidden="false" customHeight="true" outlineLevel="0" collapsed="false">
      <c r="A7" s="15" t="s">
        <v>131</v>
      </c>
      <c r="B7" s="20" t="n">
        <f aca="false">ABS(B3)/2^B6</f>
        <v>1.068115234375</v>
      </c>
    </row>
    <row r="8" customFormat="false" ht="15" hidden="false" customHeight="true" outlineLevel="0" collapsed="false">
      <c r="A8" s="15" t="s">
        <v>132</v>
      </c>
      <c r="B8" s="20" t="n">
        <f aca="false">(B7-1)*128</f>
        <v>8.71875</v>
      </c>
    </row>
    <row r="9" customFormat="false" ht="15" hidden="false" customHeight="true" outlineLevel="0" collapsed="false">
      <c r="A9" s="15" t="s">
        <v>133</v>
      </c>
      <c r="B9" s="28" t="n">
        <f aca="false">IF(B8-INT(B8)=0.5,INT(B8)+MOD(INT(B8),2),ROUND(B8,0))</f>
        <v>9</v>
      </c>
    </row>
    <row r="10" customFormat="false" ht="15" hidden="false" customHeight="true" outlineLevel="0" collapsed="false">
      <c r="A10" s="15" t="s">
        <v>134</v>
      </c>
      <c r="B10" s="28" t="n">
        <f aca="false">IF(B9=128,1,0)</f>
        <v>0</v>
      </c>
    </row>
    <row r="11" customFormat="false" ht="15" hidden="false" customHeight="true" outlineLevel="0" collapsed="false">
      <c r="A11" s="15" t="s">
        <v>135</v>
      </c>
      <c r="B11" s="28" t="n">
        <f aca="false">B6+B10</f>
        <v>16</v>
      </c>
    </row>
    <row r="12" customFormat="false" ht="15" hidden="false" customHeight="true" outlineLevel="0" collapsed="false">
      <c r="A12" s="15" t="s">
        <v>136</v>
      </c>
      <c r="B12" s="28" t="n">
        <f aca="false">IF(B10=1,0,B9)</f>
        <v>9</v>
      </c>
    </row>
    <row r="13" customFormat="false" ht="15" hidden="false" customHeight="true" outlineLevel="0" collapsed="false">
      <c r="A13" s="15" t="s">
        <v>137</v>
      </c>
      <c r="B13" s="28" t="n">
        <f aca="false">B11+127</f>
        <v>143</v>
      </c>
    </row>
    <row r="14" customFormat="false" ht="15" hidden="false" customHeight="true" outlineLevel="0" collapsed="false">
      <c r="A14" s="15" t="s">
        <v>138</v>
      </c>
      <c r="B14" s="35" t="str">
        <f aca="false">DEC2BIN(B13,8)</f>
        <v>10001111</v>
      </c>
    </row>
    <row r="15" customFormat="false" ht="15" hidden="false" customHeight="true" outlineLevel="0" collapsed="false">
      <c r="A15" s="15" t="s">
        <v>139</v>
      </c>
      <c r="B15" s="35" t="str">
        <f aca="false">DEC2BIN(B12,7)</f>
        <v>0001001</v>
      </c>
    </row>
    <row r="16" customFormat="false" ht="15" hidden="false" customHeight="true" outlineLevel="0" collapsed="false">
      <c r="A16" s="15" t="s">
        <v>140</v>
      </c>
      <c r="B16" s="35" t="str">
        <f aca="false">B5&amp;" "&amp;B14&amp;" "&amp;B15</f>
        <v>0 10001111 0001001</v>
      </c>
    </row>
    <row r="17" customFormat="false" ht="15" hidden="false" customHeight="true" outlineLevel="0" collapsed="false">
      <c r="A17" s="12" t="s">
        <v>141</v>
      </c>
      <c r="B17" s="36" t="str">
        <f aca="false">"0x"&amp;DEC2HEX(B5*32768+B13*128+B12,4)</f>
        <v>0x4789</v>
      </c>
    </row>
    <row r="18" customFormat="false" ht="15" hidden="false" customHeight="true" outlineLevel="0" collapsed="false">
      <c r="A18" s="12" t="s">
        <v>142</v>
      </c>
      <c r="B18" s="37" t="n">
        <f aca="false">(1-2*B5)*2^B11*(1+B12/128)</f>
        <v>70144</v>
      </c>
    </row>
    <row r="19" customFormat="false" ht="15" hidden="false" customHeight="true" outlineLevel="0" collapsed="false">
      <c r="A19" s="15" t="s">
        <v>143</v>
      </c>
      <c r="B19" s="38" t="n">
        <f aca="false">B18-B3</f>
        <v>144</v>
      </c>
    </row>
    <row r="20" customFormat="false" ht="15" hidden="false" customHeight="true" outlineLevel="0" collapsed="false">
      <c r="A20" s="15" t="s">
        <v>144</v>
      </c>
      <c r="B20" s="38" t="n">
        <f aca="false">2^(B6-7)</f>
        <v>512</v>
      </c>
    </row>
    <row r="21" customFormat="false" ht="15" hidden="false" customHeight="true" outlineLevel="0" collapsed="false">
      <c r="A21" s="15" t="s">
        <v>145</v>
      </c>
      <c r="B21" s="38" t="n">
        <f aca="false">2^B6*(1+INT(B8)/128)</f>
        <v>69632</v>
      </c>
    </row>
    <row r="22" customFormat="false" ht="15" hidden="false" customHeight="true" outlineLevel="0" collapsed="false">
      <c r="A22" s="15" t="s">
        <v>146</v>
      </c>
      <c r="B22" s="38" t="n">
        <f aca="false">B21+B20</f>
        <v>70144</v>
      </c>
    </row>
    <row r="23" customFormat="false" ht="15" hidden="false" customHeight="true" outlineLevel="0" collapsed="false">
      <c r="A23" s="15" t="s">
        <v>147</v>
      </c>
      <c r="B23" s="38" t="n">
        <f aca="false">ABS(B3)-B21</f>
        <v>368</v>
      </c>
    </row>
    <row r="24" customFormat="false" ht="15" hidden="false" customHeight="true" outlineLevel="0" collapsed="false">
      <c r="A24" s="15" t="s">
        <v>148</v>
      </c>
      <c r="B24" s="38" t="n">
        <f aca="false">B22-ABS(B3)</f>
        <v>144</v>
      </c>
    </row>
    <row r="26" customFormat="false" ht="15" hidden="false" customHeight="true" outlineLevel="0" collapsed="false">
      <c r="A26" s="21" t="s">
        <v>149</v>
      </c>
    </row>
    <row r="27" customFormat="false" ht="15" hidden="false" customHeight="true" outlineLevel="0" collapsed="false">
      <c r="A27" s="2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2026-10-01T18:13:27Z</dcterms:created>
  <dc:creator>Leonhard Korowajczuk</dc:creator>
  <dc:description/>
  <dc:language>en-US</dc:language>
  <cp:lastModifiedBy>Leonhard Korowajczuk</cp:lastModifiedBy>
  <dcterms:modified xsi:type="dcterms:W3CDTF">2026-10-20T17:46:33Z</dcterms:modified>
  <cp:revision>0</cp:revision>
  <dc:subject/>
  <dc:title>Mathematical Refresher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