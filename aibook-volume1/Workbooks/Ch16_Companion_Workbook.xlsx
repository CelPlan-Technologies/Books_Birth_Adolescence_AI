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GPU Memory" sheetId="2" state="visible" r:id="rId4"/>
    <sheet name="Multi-LoRA" sheetId="3" state="visible" r:id="rId5"/>
    <sheet name="Little's Law" sheetId="4" state="visible" r:id="rId6"/>
    <sheet name="Load Test" sheetId="5" state="visible" r:id="rId7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<sst xmlns="http://schemas.openxmlformats.org/spreadsheetml/2006/main" count="120" uniqueCount="119">
  <si>
    <t xml:space="preserve">Chapter 16 — Serving Engines and Runtimes</t>
  </si>
  <si>
    <t xml:space="preserve">Companion workbook of The Birth and Adolescence of Artificial Intelligence, Volume 1,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</si>
  <si>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</si>
  <si>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</si>
  <si>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</si>
  <si>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GPU Memory</t>
  </si>
  <si>
    <t xml:space="preserve">The KV-cache pool and concurrency of a vLLM server, as computed and as logged.</t>
  </si>
  <si>
    <t xml:space="preserve">Section 16.3, Worked Example 16.1</t>
  </si>
  <si>
    <t xml:space="preserve">Multi-LoRA</t>
  </si>
  <si>
    <t xml:space="preserve">Twenty LoRA adapters on one base model against twenty merged copies.</t>
  </si>
  <si>
    <t xml:space="preserve">Section 16.5, Worked Example 16.2</t>
  </si>
  <si>
    <t xml:space="preserve">Little's Law</t>
  </si>
  <si>
    <t xml:space="preserve">From users to requests in flight, KV-cache tokens and prefill compute.</t>
  </si>
  <si>
    <t xml:space="preserve">Section 16.6, Worked Example 16.3</t>
  </si>
  <si>
    <t xml:space="preserve">Load Test</t>
  </si>
  <si>
    <t xml:space="preserve">Goodput, binding objective and headroom from a load test.</t>
  </si>
  <si>
    <t xml:space="preserve">Section 16.6, Worked Example 16.4, Figure 16.3</t>
  </si>
  <si>
    <t xml:space="preserve">Notes</t>
  </si>
  <si>
    <t xml:space="preserve">Load-test data are illustrative; replace them with your own measurements.</t>
  </si>
  <si>
    <t xml:space="preserve">The KV-Cache Pool of a vLLM Server (Worked Example 16.1)</t>
  </si>
  <si>
    <t xml:space="preserve">GPU memory (GB)</t>
  </si>
  <si>
    <t xml:space="preserve">--gpu-memory-utilization (default 0.92 since v0.20)</t>
  </si>
  <si>
    <t xml:space="preserve">Non-embedding parameters (B)</t>
  </si>
  <si>
    <t xml:space="preserve">Bytes per non-embedding parameter (FP8)</t>
  </si>
  <si>
    <t xml:space="preserve">Embedding and output parameters (B)</t>
  </si>
  <si>
    <t xml:space="preserve">Bytes per embedding and output parameter (BF16)</t>
  </si>
  <si>
    <t xml:space="preserve">Activations and CUDA graphs (GB)</t>
  </si>
  <si>
    <t xml:space="preserve">Layers</t>
  </si>
  <si>
    <t xml:space="preserve">KV heads</t>
  </si>
  <si>
    <t xml:space="preserve">Head dimension</t>
  </si>
  <si>
    <t xml:space="preserve">KV bytes per element (2 = BF16, 1 = FP8)</t>
  </si>
  <si>
    <t xml:space="preserve">Tokens per sequence</t>
  </si>
  <si>
    <t xml:space="preserve">Native context length (tokens)</t>
  </si>
  <si>
    <t xml:space="preserve">Memory CUDA reports (GiB)</t>
  </si>
  <si>
    <t xml:space="preserve">Memory claimed (GB)</t>
  </si>
  <si>
    <t xml:space="preserve">Weights (GB)</t>
  </si>
  <si>
    <t xml:space="preserve">Weights (GiB)</t>
  </si>
  <si>
    <t xml:space="preserve">Weights as rounded in the text (GB)</t>
  </si>
  <si>
    <t xml:space="preserve">KV-cache pool (GB)</t>
  </si>
  <si>
    <t xml:space="preserve">KV bytes per token</t>
  </si>
  <si>
    <t xml:space="preserve">Pool capacity (tokens)</t>
  </si>
  <si>
    <t xml:space="preserve">Concurrent sequences at the chosen length</t>
  </si>
  <si>
    <t xml:space="preserve">Concurrent sequences at the native context</t>
  </si>
  <si>
    <t xml:space="preserve">Pool capacity with an FP8 cache (tokens)</t>
  </si>
  <si>
    <t xml:space="preserve">Concurrent sequences at the chosen length, FP8 cache</t>
  </si>
  <si>
    <t xml:space="preserve">Memory CUDA reports (10⁹ bytes)</t>
  </si>
  <si>
    <t xml:space="preserve">KV-cache pool in the vLLM log (GiB)</t>
  </si>
  <si>
    <t xml:space="preserve">KV-cache pool in the vLLM log (tokens)</t>
  </si>
  <si>
    <t xml:space="preserve">vLLM measures activations with a trial forward pass at start-up and logs the pool in GiB and tokens, with the maximum concurrency at --max-model-len (Section 16.3). The text rounds the weights to 34 GB before subtracting.</t>
  </si>
  <si>
    <t xml:space="preserve">Twenty Departments on One GPU (Worked Example 16.2)</t>
  </si>
  <si>
    <t xml:space="preserve">Hidden size</t>
  </si>
  <si>
    <t xml:space="preserve">KV projection width</t>
  </si>
  <si>
    <t xml:space="preserve">MLP intermediate size</t>
  </si>
  <si>
    <t xml:space="preserve">LoRA rank</t>
  </si>
  <si>
    <t xml:space="preserve">Bytes per parameter (adapter)</t>
  </si>
  <si>
    <t xml:space="preserve">Number of adapters</t>
  </si>
  <si>
    <t xml:space="preserve">Base model weights (GB)</t>
  </si>
  <si>
    <t xml:space="preserve">GPU memory for the merged copies (GB)</t>
  </si>
  <si>
    <t xml:space="preserve">Sum of (d_in + d_out) over q, k, v, o, gate, up, down</t>
  </si>
  <si>
    <t xml:space="preserve">Adapter parameters per layer</t>
  </si>
  <si>
    <t xml:space="preserve">Parameters per adapter (millions)</t>
  </si>
  <si>
    <t xml:space="preserve">Adapter size (MB)</t>
  </si>
  <si>
    <t xml:space="preserve">Adapter size as a share of the base model</t>
  </si>
  <si>
    <t xml:space="preserve">All adapters (GB)</t>
  </si>
  <si>
    <t xml:space="preserve">Base + adapters (GB)</t>
  </si>
  <si>
    <t xml:space="preserve">Merged copies instead (GB)</t>
  </si>
  <si>
    <t xml:space="preserve">GPUs needed for the merged copies</t>
  </si>
  <si>
    <t xml:space="preserve">Memory ratio, merged : multi-LoRA</t>
  </si>
  <si>
    <t xml:space="preserve">A LoRA pair adds r × (d_in + d_out) parameters to each matrix. vLLM: --enable-lora --max-loras 20 --max-lora-rank 16, adapters registered with --lora-modules (Section 16.5).</t>
  </si>
  <si>
    <t xml:space="preserve">From Users to Concurrent Sequences (Worked Example 16.3)</t>
  </si>
  <si>
    <t xml:space="preserve">Active users at peak</t>
  </si>
  <si>
    <t xml:space="preserve">Seconds between requests per user</t>
  </si>
  <si>
    <t xml:space="preserve">TTFT (s)</t>
  </si>
  <si>
    <t xml:space="preserve">Output tokens per response</t>
  </si>
  <si>
    <t xml:space="preserve">Inter-token latency (s)</t>
  </si>
  <si>
    <t xml:space="preserve">Prompt tokens held per sequence (incl. RAG context)</t>
  </si>
  <si>
    <t xml:space="preserve">Model parameters (B)</t>
  </si>
  <si>
    <t xml:space="preserve">Effective FP8 compute per GPU (TFLOP/s)</t>
  </si>
  <si>
    <t xml:space="preserve">Replicas in the load test (Worked Example 16.4)</t>
  </si>
  <si>
    <t xml:space="preserve">Arrival rate λ (requests/s)</t>
  </si>
  <si>
    <t xml:space="preserve">Time in system W (s)</t>
  </si>
  <si>
    <t xml:space="preserve">Requests in flight L = λW</t>
  </si>
  <si>
    <t xml:space="preserve">Output throughput needed (tokens/s)</t>
  </si>
  <si>
    <t xml:space="preserve">KV tokens in use</t>
  </si>
  <si>
    <t xml:space="preserve">KV-cache pool, BF16 (tokens; GPU Memory sheet)</t>
  </si>
  <si>
    <t xml:space="preserve">KV-cache pool, FP8 cache (tokens; GPU Memory sheet)</t>
  </si>
  <si>
    <t xml:space="preserve">Share of the BF16 pool</t>
  </si>
  <si>
    <t xml:space="preserve">Share of the FP8 pool</t>
  </si>
  <si>
    <t xml:space="preserve">Prefill compute needed (PFLOP/s)</t>
  </si>
  <si>
    <t xml:space="preserve">GPUs needed for prefill at that compute</t>
  </si>
  <si>
    <t xml:space="preserve">Sequences per replica in the load test</t>
  </si>
  <si>
    <t xml:space="preserve">L counts requests in the system, not layers. 400 TFLOP/s per GPU is the effective FP8 compute assumed in Worked Example 15.2; thinking is off (on, it can multiply output length and decode load).</t>
  </si>
  <si>
    <t xml:space="preserve">Reading a Load Test (Worked Example 16.4, Figure 16.3)</t>
  </si>
  <si>
    <t xml:space="preserve">Saturation capacity (requests/s)</t>
  </si>
  <si>
    <t xml:space="preserve">Base TTFT (s)</t>
  </si>
  <si>
    <t xml:space="preserve">Median queueing factor</t>
  </si>
  <si>
    <t xml:space="preserve">p99 queueing factor</t>
  </si>
  <si>
    <t xml:space="preserve">p99 TTFT objective (s)</t>
  </si>
  <si>
    <t xml:space="preserve">Load where p99 ITL reaches 50 ms (req/s)</t>
  </si>
  <si>
    <t xml:space="preserve">Peak demand (requests/s)</t>
  </si>
  <si>
    <t xml:space="preserve">Output tokens per request</t>
  </si>
  <si>
    <t xml:space="preserve">Offered load (req/s)</t>
  </si>
  <si>
    <t xml:space="preserve">Utilization ρ</t>
  </si>
  <si>
    <t xml:space="preserve">Median TTFT (s)</t>
  </si>
  <si>
    <t xml:space="preserve">p99 TTFT (s)</t>
  </si>
  <si>
    <t xml:space="preserve">Meets both objectives?</t>
  </si>
  <si>
    <t xml:space="preserve">Output tokens/s</t>
  </si>
  <si>
    <t xml:space="preserve">Output tokens/s at saturation</t>
  </si>
  <si>
    <t xml:space="preserve">Median TTFT at peak demand (s)</t>
  </si>
  <si>
    <t xml:space="preserve">Load where median TTFT = objective (req/s)</t>
  </si>
  <si>
    <t xml:space="preserve">Load where p99 TTFT = objective (req/s)</t>
  </si>
  <si>
    <t xml:space="preserve">Binding objective</t>
  </si>
  <si>
    <t xml:space="preserve">Goodput (requests/s)</t>
  </si>
  <si>
    <t xml:space="preserve">Goodput as a share of saturation</t>
  </si>
  <si>
    <t xml:space="preserve">Goodput ÷ peak demand</t>
  </si>
  <si>
    <t xml:space="preserve">Headroom over peak demand</t>
  </si>
  <si>
    <t xml:space="preserve">Overestimate if sized on the median</t>
  </si>
  <si>
    <t xml:space="preserve">Overestimate if sized on saturation</t>
  </si>
  <si>
    <t xml:space="preserve">Illustrative M/M/1-style curve: TTFT = base + factor × ρ/(1−ρ), set so that p99 TTFT reaches 2 s at 2.0 requests/s as in Worked Example 16.4. Replace the parameters with measurements from vllm bench serve, AIPerf or GuideLLM.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</si>
</sst>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"/>
    <numFmt numFmtId="167" formatCode="0.0"/>
    <numFmt numFmtId="168" formatCode="#,##0"/>
    <numFmt numFmtId="169" formatCode="0.0%"/>
    <numFmt numFmtId="170" formatCode="0.000"/>
    <numFmt numFmtId="171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sz val="11"/>
      <name val="Cambria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</row>
    <row r="5" customFormat="false" ht="15" hidden="false" customHeight="true" outlineLevel="0" collapsed="false">
      <c r="A5" s="6" t="s">
        <v>5</v>
      </c>
      <c r="B5" s="7" t="s">
        <v>6</v>
      </c>
      <c r="C5" s="7" t="s">
        <v>7</v>
      </c>
    </row>
    <row r="6" customFormat="false" ht="15" hidden="false" customHeight="true" outlineLevel="0" collapsed="false">
      <c r="A6" s="6" t="s">
        <v>8</v>
      </c>
      <c r="B6" s="7" t="s">
        <v>9</v>
      </c>
      <c r="C6" s="7" t="s">
        <v>10</v>
      </c>
    </row>
    <row r="7" customFormat="false" ht="15" hidden="false" customHeight="true" outlineLevel="0" collapsed="false">
      <c r="A7" s="6" t="s">
        <v>11</v>
      </c>
      <c r="B7" s="7" t="s">
        <v>12</v>
      </c>
      <c r="C7" s="7" t="s">
        <v>13</v>
      </c>
    </row>
    <row r="8" customFormat="false" ht="30" hidden="false" customHeight="true" outlineLevel="0" collapsed="false">
      <c r="A8" s="6" t="s">
        <v>14</v>
      </c>
      <c r="B8" s="7" t="s">
        <v>15</v>
      </c>
      <c r="C8" s="7" t="s">
        <v>16</v>
      </c>
    </row>
    <row r="10" customFormat="false" ht="15" hidden="false" customHeight="false" outlineLevel="0" collapsed="false">
      <c r="A10" s="8" t="s">
        <v>17</v>
      </c>
    </row>
    <row r="11" customFormat="false" ht="15" hidden="false" customHeight="true" outlineLevel="0" collapsed="false">
      <c r="A11" s="9" t="s">
        <v>18</v>
      </c>
      <c r="B11" s="9"/>
      <c r="C11" s="9"/>
    </row>
  </sheetData>
  <mergeCells count="2">
    <mergeCell ref="A2:C2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</cols>
  <sheetData>
    <row r="1" customFormat="false" ht="15.75" hidden="false" customHeight="true" outlineLevel="0" collapsed="false">
      <c r="A1" s="10" t="s">
        <v>19</v>
      </c>
    </row>
    <row r="3" customFormat="false" ht="15" hidden="false" customHeight="true" outlineLevel="0" collapsed="false">
      <c r="A3" s="11" t="s">
        <v>20</v>
      </c>
      <c r="B3" s="12" t="n">
        <v>96</v>
      </c>
    </row>
    <row r="4" customFormat="false" ht="15" hidden="false" customHeight="true" outlineLevel="0" collapsed="false">
      <c r="A4" s="11" t="s">
        <v>21</v>
      </c>
      <c r="B4" s="13" t="n">
        <v>0.9</v>
      </c>
    </row>
    <row r="5" customFormat="false" ht="15" hidden="false" customHeight="true" outlineLevel="0" collapsed="false">
      <c r="A5" s="11" t="s">
        <v>22</v>
      </c>
      <c r="B5" s="14" t="n">
        <v>31.2</v>
      </c>
    </row>
    <row r="6" customFormat="false" ht="15" hidden="false" customHeight="true" outlineLevel="0" collapsed="false">
      <c r="A6" s="11" t="s">
        <v>23</v>
      </c>
      <c r="B6" s="12" t="n">
        <v>1</v>
      </c>
    </row>
    <row r="7" customFormat="false" ht="15" hidden="false" customHeight="true" outlineLevel="0" collapsed="false">
      <c r="A7" s="11" t="s">
        <v>24</v>
      </c>
      <c r="B7" s="14" t="n">
        <v>1.6</v>
      </c>
    </row>
    <row r="8" customFormat="false" ht="15" hidden="false" customHeight="true" outlineLevel="0" collapsed="false">
      <c r="A8" s="11" t="s">
        <v>25</v>
      </c>
      <c r="B8" s="12" t="n">
        <v>2</v>
      </c>
    </row>
    <row r="9" customFormat="false" ht="15" hidden="false" customHeight="true" outlineLevel="0" collapsed="false">
      <c r="A9" s="11" t="s">
        <v>26</v>
      </c>
      <c r="B9" s="14" t="n">
        <v>4</v>
      </c>
    </row>
    <row r="10" customFormat="false" ht="15" hidden="false" customHeight="true" outlineLevel="0" collapsed="false">
      <c r="A10" s="11" t="s">
        <v>27</v>
      </c>
      <c r="B10" s="12" t="n">
        <v>64</v>
      </c>
    </row>
    <row r="11" customFormat="false" ht="15" hidden="false" customHeight="true" outlineLevel="0" collapsed="false">
      <c r="A11" s="11" t="s">
        <v>28</v>
      </c>
      <c r="B11" s="12" t="n">
        <v>8</v>
      </c>
    </row>
    <row r="12" customFormat="false" ht="15" hidden="false" customHeight="true" outlineLevel="0" collapsed="false">
      <c r="A12" s="11" t="s">
        <v>29</v>
      </c>
      <c r="B12" s="12" t="n">
        <v>128</v>
      </c>
    </row>
    <row r="13" customFormat="false" ht="15" hidden="false" customHeight="true" outlineLevel="0" collapsed="false">
      <c r="A13" s="11" t="s">
        <v>30</v>
      </c>
      <c r="B13" s="12" t="n">
        <v>2</v>
      </c>
    </row>
    <row r="14" customFormat="false" ht="15" hidden="false" customHeight="true" outlineLevel="0" collapsed="false">
      <c r="A14" s="11" t="s">
        <v>31</v>
      </c>
      <c r="B14" s="15" t="n">
        <v>8192</v>
      </c>
    </row>
    <row r="15" customFormat="false" ht="15" hidden="false" customHeight="true" outlineLevel="0" collapsed="false">
      <c r="A15" s="11" t="s">
        <v>32</v>
      </c>
      <c r="B15" s="15" t="n">
        <v>32768</v>
      </c>
    </row>
    <row r="16" customFormat="false" ht="15" hidden="false" customHeight="true" outlineLevel="0" collapsed="false">
      <c r="A16" s="11" t="s">
        <v>33</v>
      </c>
      <c r="B16" s="12" t="n">
        <v>95</v>
      </c>
    </row>
    <row r="17" customFormat="false" ht="15" hidden="false" customHeight="true" outlineLevel="0" collapsed="false"/>
    <row r="18" customFormat="false" ht="15" hidden="false" customHeight="true" outlineLevel="0" collapsed="false">
      <c r="A18" s="16" t="s">
        <v>34</v>
      </c>
      <c r="B18" s="17" t="n">
        <f aca="false">B3*B4</f>
        <v>86.4</v>
      </c>
    </row>
    <row r="19" customFormat="false" ht="15" hidden="false" customHeight="true" outlineLevel="0" collapsed="false">
      <c r="A19" s="16" t="s">
        <v>35</v>
      </c>
      <c r="B19" s="17" t="n">
        <f aca="false">B5*B6+B7*B8</f>
        <v>34.4</v>
      </c>
    </row>
    <row r="20" customFormat="false" ht="15" hidden="false" customHeight="true" outlineLevel="0" collapsed="false">
      <c r="A20" s="16" t="s">
        <v>36</v>
      </c>
      <c r="B20" s="17" t="n">
        <f aca="false">B19*1000000000/2^30</f>
        <v>32.0374965667725</v>
      </c>
    </row>
    <row r="21" customFormat="false" ht="15" hidden="false" customHeight="true" outlineLevel="0" collapsed="false">
      <c r="A21" s="16" t="s">
        <v>37</v>
      </c>
      <c r="B21" s="18" t="n">
        <f aca="false">ROUND(B19,0)</f>
        <v>34</v>
      </c>
    </row>
    <row r="22" customFormat="false" ht="15" hidden="false" customHeight="true" outlineLevel="0" collapsed="false">
      <c r="A22" s="16" t="s">
        <v>38</v>
      </c>
      <c r="B22" s="17" t="n">
        <f aca="false">B18-B21-B9</f>
        <v>48.4</v>
      </c>
    </row>
    <row r="23" customFormat="false" ht="15" hidden="false" customHeight="true" outlineLevel="0" collapsed="false">
      <c r="A23" s="16" t="s">
        <v>39</v>
      </c>
      <c r="B23" s="19" t="n">
        <f aca="false">2*B10*B11*B12*B13</f>
        <v>262144</v>
      </c>
    </row>
    <row r="24" customFormat="false" ht="15" hidden="false" customHeight="true" outlineLevel="0" collapsed="false">
      <c r="A24" s="16" t="s">
        <v>40</v>
      </c>
      <c r="B24" s="19" t="n">
        <f aca="false">B22*1000000000/B23</f>
        <v>184631.34765625</v>
      </c>
    </row>
    <row r="25" customFormat="false" ht="15" hidden="false" customHeight="true" outlineLevel="0" collapsed="false">
      <c r="A25" s="16" t="s">
        <v>41</v>
      </c>
      <c r="B25" s="19" t="n">
        <f aca="false">INT(B24/B14)</f>
        <v>22</v>
      </c>
    </row>
    <row r="26" customFormat="false" ht="15" hidden="false" customHeight="true" outlineLevel="0" collapsed="false">
      <c r="A26" s="16" t="s">
        <v>42</v>
      </c>
      <c r="B26" s="19" t="n">
        <f aca="false">INT(B24/B15)</f>
        <v>5</v>
      </c>
    </row>
    <row r="27" customFormat="false" ht="15" hidden="false" customHeight="true" outlineLevel="0" collapsed="false">
      <c r="A27" s="16" t="s">
        <v>43</v>
      </c>
      <c r="B27" s="19" t="n">
        <f aca="false">B22*1000000000/(2*B10*B11*B12*1)</f>
        <v>369262.6953125</v>
      </c>
    </row>
    <row r="28" customFormat="false" ht="15" hidden="false" customHeight="true" outlineLevel="0" collapsed="false">
      <c r="A28" s="16" t="s">
        <v>44</v>
      </c>
      <c r="B28" s="19" t="n">
        <f aca="false">INT(B27/B14)</f>
        <v>45</v>
      </c>
    </row>
    <row r="29" customFormat="false" ht="15" hidden="false" customHeight="true" outlineLevel="0" collapsed="false">
      <c r="A29" s="16" t="s">
        <v>45</v>
      </c>
      <c r="B29" s="17" t="n">
        <f aca="false">B16*2^30/1000000000</f>
        <v>102.00547328</v>
      </c>
    </row>
    <row r="30" customFormat="false" ht="15" hidden="false" customHeight="true" outlineLevel="0" collapsed="false">
      <c r="A30" s="16" t="s">
        <v>46</v>
      </c>
      <c r="B30" s="17" t="n">
        <f aca="false">(B29*B4-B19-B9)*1000000000/2^30</f>
        <v>49.7372131347656</v>
      </c>
    </row>
    <row r="31" customFormat="false" ht="15" hidden="false" customHeight="true" outlineLevel="0" collapsed="false">
      <c r="A31" s="16" t="s">
        <v>47</v>
      </c>
      <c r="B31" s="19" t="n">
        <f aca="false">(B29*B4-B19-B9)*1000000000/B23</f>
        <v>203723.625</v>
      </c>
    </row>
    <row r="33" customFormat="false" ht="15" hidden="false" customHeight="true" outlineLevel="0" collapsed="false">
      <c r="A33" s="2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</cols>
  <sheetData>
    <row r="1" customFormat="false" ht="15.75" hidden="false" customHeight="true" outlineLevel="0" collapsed="false">
      <c r="A1" s="10" t="s">
        <v>49</v>
      </c>
    </row>
    <row r="3" customFormat="false" ht="15" hidden="false" customHeight="true" outlineLevel="0" collapsed="false">
      <c r="A3" s="11" t="s">
        <v>50</v>
      </c>
      <c r="B3" s="15" t="n">
        <v>4096</v>
      </c>
    </row>
    <row r="4" customFormat="false" ht="15" hidden="false" customHeight="true" outlineLevel="0" collapsed="false">
      <c r="A4" s="11" t="s">
        <v>51</v>
      </c>
      <c r="B4" s="15" t="n">
        <v>1024</v>
      </c>
    </row>
    <row r="5" customFormat="false" ht="15" hidden="false" customHeight="true" outlineLevel="0" collapsed="false">
      <c r="A5" s="11" t="s">
        <v>52</v>
      </c>
      <c r="B5" s="15" t="n">
        <v>14336</v>
      </c>
    </row>
    <row r="6" customFormat="false" ht="15" hidden="false" customHeight="true" outlineLevel="0" collapsed="false">
      <c r="A6" s="11" t="s">
        <v>27</v>
      </c>
      <c r="B6" s="12" t="n">
        <v>32</v>
      </c>
    </row>
    <row r="7" customFormat="false" ht="15" hidden="false" customHeight="true" outlineLevel="0" collapsed="false">
      <c r="A7" s="11" t="s">
        <v>53</v>
      </c>
      <c r="B7" s="12" t="n">
        <v>16</v>
      </c>
    </row>
    <row r="8" customFormat="false" ht="15" hidden="false" customHeight="true" outlineLevel="0" collapsed="false">
      <c r="A8" s="11" t="s">
        <v>54</v>
      </c>
      <c r="B8" s="12" t="n">
        <v>2</v>
      </c>
    </row>
    <row r="9" customFormat="false" ht="15" hidden="false" customHeight="true" outlineLevel="0" collapsed="false">
      <c r="A9" s="11" t="s">
        <v>55</v>
      </c>
      <c r="B9" s="12" t="n">
        <v>20</v>
      </c>
    </row>
    <row r="10" customFormat="false" ht="15" hidden="false" customHeight="true" outlineLevel="0" collapsed="false">
      <c r="A10" s="11" t="s">
        <v>56</v>
      </c>
      <c r="B10" s="14" t="n">
        <v>16</v>
      </c>
    </row>
    <row r="11" customFormat="false" ht="15" hidden="false" customHeight="true" outlineLevel="0" collapsed="false">
      <c r="A11" s="11" t="s">
        <v>57</v>
      </c>
      <c r="B11" s="12" t="n">
        <v>96</v>
      </c>
    </row>
    <row r="12" customFormat="false" ht="15" hidden="false" customHeight="true" outlineLevel="0" collapsed="false"/>
    <row r="13" customFormat="false" ht="15" hidden="false" customHeight="true" outlineLevel="0" collapsed="false">
      <c r="A13" s="16" t="s">
        <v>58</v>
      </c>
      <c r="B13" s="19" t="n">
        <f aca="false">2*B3+2*(B3+B4)+2*B3+3*(B3+B5)</f>
        <v>81920</v>
      </c>
    </row>
    <row r="14" customFormat="false" ht="15" hidden="false" customHeight="true" outlineLevel="0" collapsed="false">
      <c r="A14" s="16" t="s">
        <v>59</v>
      </c>
      <c r="B14" s="19" t="n">
        <f aca="false">B13*B7</f>
        <v>1310720</v>
      </c>
    </row>
    <row r="15" customFormat="false" ht="15" hidden="false" customHeight="true" outlineLevel="0" collapsed="false">
      <c r="A15" s="16" t="s">
        <v>60</v>
      </c>
      <c r="B15" s="17" t="n">
        <f aca="false">B14*B6/1000000</f>
        <v>41.94304</v>
      </c>
    </row>
    <row r="16" customFormat="false" ht="15" hidden="false" customHeight="true" outlineLevel="0" collapsed="false">
      <c r="A16" s="16" t="s">
        <v>61</v>
      </c>
      <c r="B16" s="18" t="n">
        <f aca="false">B15*B8</f>
        <v>83.88608</v>
      </c>
    </row>
    <row r="17" customFormat="false" ht="15" hidden="false" customHeight="true" outlineLevel="0" collapsed="false">
      <c r="A17" s="16" t="s">
        <v>62</v>
      </c>
      <c r="B17" s="21" t="n">
        <f aca="false">B16/1000/B10</f>
        <v>0.00524288</v>
      </c>
    </row>
    <row r="18" customFormat="false" ht="15" hidden="false" customHeight="true" outlineLevel="0" collapsed="false">
      <c r="A18" s="16" t="s">
        <v>63</v>
      </c>
      <c r="B18" s="22" t="n">
        <f aca="false">B16*B9/1000</f>
        <v>1.6777216</v>
      </c>
    </row>
    <row r="19" customFormat="false" ht="15" hidden="false" customHeight="true" outlineLevel="0" collapsed="false">
      <c r="A19" s="16" t="s">
        <v>64</v>
      </c>
      <c r="B19" s="17" t="n">
        <f aca="false">B10+B18</f>
        <v>17.6777216</v>
      </c>
    </row>
    <row r="20" customFormat="false" ht="15" hidden="false" customHeight="true" outlineLevel="0" collapsed="false">
      <c r="A20" s="16" t="s">
        <v>65</v>
      </c>
      <c r="B20" s="19" t="n">
        <f aca="false">B9*B10</f>
        <v>320</v>
      </c>
    </row>
    <row r="21" customFormat="false" ht="15" hidden="false" customHeight="true" outlineLevel="0" collapsed="false">
      <c r="A21" s="16" t="s">
        <v>66</v>
      </c>
      <c r="B21" s="18" t="n">
        <f aca="false">ROUNDUP(B20/B11,0)</f>
        <v>4</v>
      </c>
    </row>
    <row r="22" customFormat="false" ht="15" hidden="false" customHeight="true" outlineLevel="0" collapsed="false">
      <c r="A22" s="16" t="s">
        <v>67</v>
      </c>
      <c r="B22" s="17" t="n">
        <f aca="false">B20/B19</f>
        <v>18.1018802785083</v>
      </c>
    </row>
    <row r="24" customFormat="false" ht="15" hidden="false" customHeight="true" outlineLevel="0" collapsed="false">
      <c r="A24" s="20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</cols>
  <sheetData>
    <row r="1" customFormat="false" ht="15.75" hidden="false" customHeight="true" outlineLevel="0" collapsed="false">
      <c r="A1" s="10" t="s">
        <v>69</v>
      </c>
    </row>
    <row r="3" customFormat="false" ht="15" hidden="false" customHeight="true" outlineLevel="0" collapsed="false">
      <c r="A3" s="11" t="s">
        <v>70</v>
      </c>
      <c r="B3" s="15" t="n">
        <v>200</v>
      </c>
    </row>
    <row r="4" customFormat="false" ht="15" hidden="false" customHeight="true" outlineLevel="0" collapsed="false">
      <c r="A4" s="11" t="s">
        <v>71</v>
      </c>
      <c r="B4" s="12" t="n">
        <v>120</v>
      </c>
    </row>
    <row r="5" customFormat="false" ht="15" hidden="false" customHeight="true" outlineLevel="0" collapsed="false">
      <c r="A5" s="11" t="s">
        <v>72</v>
      </c>
      <c r="B5" s="13" t="n">
        <v>0.5</v>
      </c>
    </row>
    <row r="6" customFormat="false" ht="15" hidden="false" customHeight="true" outlineLevel="0" collapsed="false">
      <c r="A6" s="11" t="s">
        <v>73</v>
      </c>
      <c r="B6" s="15" t="n">
        <v>400</v>
      </c>
    </row>
    <row r="7" customFormat="false" ht="15" hidden="false" customHeight="true" outlineLevel="0" collapsed="false">
      <c r="A7" s="11" t="s">
        <v>74</v>
      </c>
      <c r="B7" s="23" t="n">
        <v>0.04</v>
      </c>
    </row>
    <row r="8" customFormat="false" ht="15" hidden="false" customHeight="true" outlineLevel="0" collapsed="false">
      <c r="A8" s="11" t="s">
        <v>75</v>
      </c>
      <c r="B8" s="15" t="n">
        <v>8000</v>
      </c>
    </row>
    <row r="9" customFormat="false" ht="15" hidden="false" customHeight="true" outlineLevel="0" collapsed="false">
      <c r="A9" s="11" t="s">
        <v>76</v>
      </c>
      <c r="B9" s="14" t="n">
        <v>32.8</v>
      </c>
    </row>
    <row r="10" customFormat="false" ht="15" hidden="false" customHeight="true" outlineLevel="0" collapsed="false">
      <c r="A10" s="11" t="s">
        <v>77</v>
      </c>
      <c r="B10" s="15" t="n">
        <v>400</v>
      </c>
    </row>
    <row r="11" customFormat="false" ht="15" hidden="false" customHeight="true" outlineLevel="0" collapsed="false">
      <c r="A11" s="11" t="s">
        <v>78</v>
      </c>
      <c r="B11" s="12" t="n">
        <v>4</v>
      </c>
    </row>
    <row r="12" customFormat="false" ht="15" hidden="false" customHeight="true" outlineLevel="0" collapsed="false"/>
    <row r="13" customFormat="false" ht="15" hidden="false" customHeight="true" outlineLevel="0" collapsed="false">
      <c r="A13" s="16" t="s">
        <v>79</v>
      </c>
      <c r="B13" s="22" t="n">
        <f aca="false">B3/B4</f>
        <v>1.66666666666667</v>
      </c>
    </row>
    <row r="14" customFormat="false" ht="15" hidden="false" customHeight="true" outlineLevel="0" collapsed="false">
      <c r="A14" s="16" t="s">
        <v>80</v>
      </c>
      <c r="B14" s="17" t="n">
        <f aca="false">B5+B6*B7</f>
        <v>16.5</v>
      </c>
    </row>
    <row r="15" customFormat="false" ht="15" hidden="false" customHeight="true" outlineLevel="0" collapsed="false">
      <c r="A15" s="16" t="s">
        <v>81</v>
      </c>
      <c r="B15" s="17" t="n">
        <f aca="false">B13*B14</f>
        <v>27.5</v>
      </c>
    </row>
    <row r="16" customFormat="false" ht="15" hidden="false" customHeight="true" outlineLevel="0" collapsed="false">
      <c r="A16" s="16" t="s">
        <v>82</v>
      </c>
      <c r="B16" s="19" t="n">
        <f aca="false">B13*B6</f>
        <v>666.666666666667</v>
      </c>
    </row>
    <row r="17" customFormat="false" ht="15" hidden="false" customHeight="true" outlineLevel="0" collapsed="false">
      <c r="A17" s="16" t="s">
        <v>83</v>
      </c>
      <c r="B17" s="19" t="n">
        <f aca="false">B15*B8</f>
        <v>220000</v>
      </c>
    </row>
    <row r="18" customFormat="false" ht="15" hidden="false" customHeight="true" outlineLevel="0" collapsed="false">
      <c r="A18" s="16" t="s">
        <v>84</v>
      </c>
      <c r="B18" s="19" t="n">
        <f aca="false">'GPU Memory'!B24</f>
        <v>184631.34765625</v>
      </c>
    </row>
    <row r="19" customFormat="false" ht="15" hidden="false" customHeight="true" outlineLevel="0" collapsed="false">
      <c r="A19" s="16" t="s">
        <v>85</v>
      </c>
      <c r="B19" s="19" t="n">
        <f aca="false">'GPU Memory'!B27</f>
        <v>369262.6953125</v>
      </c>
    </row>
    <row r="20" customFormat="false" ht="15" hidden="false" customHeight="true" outlineLevel="0" collapsed="false">
      <c r="A20" s="16" t="s">
        <v>86</v>
      </c>
      <c r="B20" s="24" t="n">
        <f aca="false">B17/B18</f>
        <v>1.19156363636364</v>
      </c>
    </row>
    <row r="21" customFormat="false" ht="15" hidden="false" customHeight="true" outlineLevel="0" collapsed="false">
      <c r="A21" s="16" t="s">
        <v>87</v>
      </c>
      <c r="B21" s="24" t="n">
        <f aca="false">B17/B19</f>
        <v>0.595781818181818</v>
      </c>
    </row>
    <row r="22" customFormat="false" ht="15" hidden="false" customHeight="true" outlineLevel="0" collapsed="false">
      <c r="A22" s="16" t="s">
        <v>88</v>
      </c>
      <c r="B22" s="22" t="n">
        <f aca="false">B13*B8*2*B9*1000000000/1000000000000000</f>
        <v>0.874666666666667</v>
      </c>
    </row>
    <row r="23" customFormat="false" ht="15" hidden="false" customHeight="true" outlineLevel="0" collapsed="false">
      <c r="A23" s="16" t="s">
        <v>89</v>
      </c>
      <c r="B23" s="17" t="n">
        <f aca="false">B22*1000/B10</f>
        <v>2.18666666666667</v>
      </c>
    </row>
    <row r="24" customFormat="false" ht="15" hidden="false" customHeight="true" outlineLevel="0" collapsed="false">
      <c r="A24" s="16" t="s">
        <v>90</v>
      </c>
      <c r="B24" s="17" t="n">
        <f aca="false">B15/B11</f>
        <v>6.875</v>
      </c>
    </row>
    <row r="26" customFormat="false" ht="15" hidden="false" customHeight="true" outlineLevel="0" collapsed="false">
      <c r="A26" s="20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6" min="5" style="1" width="16"/>
  </cols>
  <sheetData>
    <row r="1" customFormat="false" ht="15.75" hidden="false" customHeight="true" outlineLevel="0" collapsed="false">
      <c r="A1" s="10" t="s">
        <v>92</v>
      </c>
    </row>
    <row r="3" customFormat="false" ht="15" hidden="false" customHeight="true" outlineLevel="0" collapsed="false">
      <c r="A3" s="11" t="s">
        <v>93</v>
      </c>
      <c r="B3" s="14" t="n">
        <v>4</v>
      </c>
    </row>
    <row r="4" customFormat="false" ht="15" hidden="false" customHeight="true" outlineLevel="0" collapsed="false">
      <c r="A4" s="11" t="s">
        <v>94</v>
      </c>
      <c r="B4" s="13" t="n">
        <v>0.35</v>
      </c>
    </row>
    <row r="5" customFormat="false" ht="15" hidden="false" customHeight="true" outlineLevel="0" collapsed="false">
      <c r="A5" s="11" t="s">
        <v>95</v>
      </c>
      <c r="B5" s="23" t="n">
        <v>0.245</v>
      </c>
    </row>
    <row r="6" customFormat="false" ht="15" hidden="false" customHeight="true" outlineLevel="0" collapsed="false">
      <c r="A6" s="11" t="s">
        <v>96</v>
      </c>
      <c r="B6" s="13" t="n">
        <v>1.65</v>
      </c>
    </row>
    <row r="7" customFormat="false" ht="15" hidden="false" customHeight="true" outlineLevel="0" collapsed="false">
      <c r="A7" s="11" t="s">
        <v>97</v>
      </c>
      <c r="B7" s="14" t="n">
        <v>2</v>
      </c>
    </row>
    <row r="8" customFormat="false" ht="15" hidden="false" customHeight="true" outlineLevel="0" collapsed="false">
      <c r="A8" s="11" t="s">
        <v>98</v>
      </c>
      <c r="B8" s="13" t="n">
        <v>2.5</v>
      </c>
    </row>
    <row r="9" customFormat="false" ht="15" hidden="false" customHeight="true" outlineLevel="0" collapsed="false">
      <c r="A9" s="11" t="s">
        <v>99</v>
      </c>
      <c r="B9" s="13" t="n">
        <v>1.67</v>
      </c>
    </row>
    <row r="10" customFormat="false" ht="15" hidden="false" customHeight="true" outlineLevel="0" collapsed="false">
      <c r="A10" s="11" t="s">
        <v>100</v>
      </c>
      <c r="B10" s="15" t="n">
        <v>400</v>
      </c>
    </row>
    <row r="11" customFormat="false" ht="15" hidden="false" customHeight="true" outlineLevel="0" collapsed="false"/>
    <row r="12" customFormat="false" ht="30" hidden="false" customHeight="true" outlineLevel="0" collapsed="false">
      <c r="A12" s="25" t="s">
        <v>101</v>
      </c>
      <c r="B12" s="25" t="s">
        <v>102</v>
      </c>
      <c r="C12" s="25" t="s">
        <v>103</v>
      </c>
      <c r="D12" s="25" t="s">
        <v>104</v>
      </c>
      <c r="E12" s="25" t="s">
        <v>105</v>
      </c>
      <c r="F12" s="25" t="s">
        <v>106</v>
      </c>
    </row>
    <row r="13" customFormat="false" ht="15" hidden="false" customHeight="true" outlineLevel="0" collapsed="false">
      <c r="A13" s="13" t="n">
        <v>0.5</v>
      </c>
      <c r="B13" s="26" t="n">
        <f aca="false">A13/$B$3</f>
        <v>0.125</v>
      </c>
      <c r="C13" s="27" t="n">
        <f aca="false">$B$4+$B$5*B13/(1-B13)</f>
        <v>0.385</v>
      </c>
      <c r="D13" s="27" t="n">
        <f aca="false">$B$4+$B$6*B13/(1-B13)</f>
        <v>0.585714285714286</v>
      </c>
      <c r="E13" s="11" t="str">
        <f aca="false">IF(AND(D13&lt;=$B$7,A13&lt;=$B$8),"yes","no")</f>
        <v>yes</v>
      </c>
      <c r="F13" s="28" t="n">
        <f aca="false">A13*$B$10</f>
        <v>200</v>
      </c>
    </row>
    <row r="14" customFormat="false" ht="15" hidden="false" customHeight="true" outlineLevel="0" collapsed="false">
      <c r="A14" s="13" t="n">
        <v>1</v>
      </c>
      <c r="B14" s="26" t="n">
        <f aca="false">A14/$B$3</f>
        <v>0.25</v>
      </c>
      <c r="C14" s="27" t="n">
        <f aca="false">$B$4+$B$5*B14/(1-B14)</f>
        <v>0.431666666666667</v>
      </c>
      <c r="D14" s="27" t="n">
        <f aca="false">$B$4+$B$6*B14/(1-B14)</f>
        <v>0.9</v>
      </c>
      <c r="E14" s="11" t="str">
        <f aca="false">IF(AND(D14&lt;=$B$7,A14&lt;=$B$8),"yes","no")</f>
        <v>yes</v>
      </c>
      <c r="F14" s="28" t="n">
        <f aca="false">A14*$B$10</f>
        <v>400</v>
      </c>
    </row>
    <row r="15" customFormat="false" ht="15" hidden="false" customHeight="true" outlineLevel="0" collapsed="false">
      <c r="A15" s="13" t="n">
        <v>1.5</v>
      </c>
      <c r="B15" s="26" t="n">
        <f aca="false">A15/$B$3</f>
        <v>0.375</v>
      </c>
      <c r="C15" s="27" t="n">
        <f aca="false">$B$4+$B$5*B15/(1-B15)</f>
        <v>0.497</v>
      </c>
      <c r="D15" s="27" t="n">
        <f aca="false">$B$4+$B$6*B15/(1-B15)</f>
        <v>1.34</v>
      </c>
      <c r="E15" s="11" t="str">
        <f aca="false">IF(AND(D15&lt;=$B$7,A15&lt;=$B$8),"yes","no")</f>
        <v>yes</v>
      </c>
      <c r="F15" s="28" t="n">
        <f aca="false">A15*$B$10</f>
        <v>600</v>
      </c>
    </row>
    <row r="16" customFormat="false" ht="15" hidden="false" customHeight="true" outlineLevel="0" collapsed="false">
      <c r="A16" s="13" t="n">
        <v>1.75</v>
      </c>
      <c r="B16" s="26" t="n">
        <f aca="false">A16/$B$3</f>
        <v>0.4375</v>
      </c>
      <c r="C16" s="27" t="n">
        <f aca="false">$B$4+$B$5*B16/(1-B16)</f>
        <v>0.540555555555556</v>
      </c>
      <c r="D16" s="27" t="n">
        <f aca="false">$B$4+$B$6*B16/(1-B16)</f>
        <v>1.63333333333333</v>
      </c>
      <c r="E16" s="11" t="str">
        <f aca="false">IF(AND(D16&lt;=$B$7,A16&lt;=$B$8),"yes","no")</f>
        <v>yes</v>
      </c>
      <c r="F16" s="28" t="n">
        <f aca="false">A16*$B$10</f>
        <v>700</v>
      </c>
    </row>
    <row r="17" customFormat="false" ht="15" hidden="false" customHeight="true" outlineLevel="0" collapsed="false">
      <c r="A17" s="13" t="n">
        <v>2</v>
      </c>
      <c r="B17" s="26" t="n">
        <f aca="false">A17/$B$3</f>
        <v>0.5</v>
      </c>
      <c r="C17" s="27" t="n">
        <f aca="false">$B$4+$B$5*B17/(1-B17)</f>
        <v>0.595</v>
      </c>
      <c r="D17" s="27" t="n">
        <f aca="false">$B$4+$B$6*B17/(1-B17)</f>
        <v>2</v>
      </c>
      <c r="E17" s="11" t="str">
        <f aca="false">IF(AND(D17&lt;=$B$7,A17&lt;=$B$8),"yes","no")</f>
        <v>yes</v>
      </c>
      <c r="F17" s="28" t="n">
        <f aca="false">A17*$B$10</f>
        <v>800</v>
      </c>
    </row>
    <row r="18" customFormat="false" ht="15" hidden="false" customHeight="true" outlineLevel="0" collapsed="false">
      <c r="A18" s="13" t="n">
        <v>2.25</v>
      </c>
      <c r="B18" s="26" t="n">
        <f aca="false">A18/$B$3</f>
        <v>0.5625</v>
      </c>
      <c r="C18" s="27" t="n">
        <f aca="false">$B$4+$B$5*B18/(1-B18)</f>
        <v>0.665</v>
      </c>
      <c r="D18" s="27" t="n">
        <f aca="false">$B$4+$B$6*B18/(1-B18)</f>
        <v>2.47142857142857</v>
      </c>
      <c r="E18" s="11" t="str">
        <f aca="false">IF(AND(D18&lt;=$B$7,A18&lt;=$B$8),"yes","no")</f>
        <v>no</v>
      </c>
      <c r="F18" s="28" t="n">
        <f aca="false">A18*$B$10</f>
        <v>900</v>
      </c>
    </row>
    <row r="19" customFormat="false" ht="15" hidden="false" customHeight="true" outlineLevel="0" collapsed="false">
      <c r="A19" s="13" t="n">
        <v>2.5</v>
      </c>
      <c r="B19" s="26" t="n">
        <f aca="false">A19/$B$3</f>
        <v>0.625</v>
      </c>
      <c r="C19" s="27" t="n">
        <f aca="false">$B$4+$B$5*B19/(1-B19)</f>
        <v>0.758333333333333</v>
      </c>
      <c r="D19" s="27" t="n">
        <f aca="false">$B$4+$B$6*B19/(1-B19)</f>
        <v>3.1</v>
      </c>
      <c r="E19" s="11" t="str">
        <f aca="false">IF(AND(D19&lt;=$B$7,A19&lt;=$B$8),"yes","no")</f>
        <v>no</v>
      </c>
      <c r="F19" s="28" t="n">
        <f aca="false">A19*$B$10</f>
        <v>1000</v>
      </c>
    </row>
    <row r="20" customFormat="false" ht="15" hidden="false" customHeight="true" outlineLevel="0" collapsed="false">
      <c r="A20" s="13" t="n">
        <v>3</v>
      </c>
      <c r="B20" s="26" t="n">
        <f aca="false">A20/$B$3</f>
        <v>0.75</v>
      </c>
      <c r="C20" s="27" t="n">
        <f aca="false">$B$4+$B$5*B20/(1-B20)</f>
        <v>1.085</v>
      </c>
      <c r="D20" s="27" t="n">
        <f aca="false">$B$4+$B$6*B20/(1-B20)</f>
        <v>5.3</v>
      </c>
      <c r="E20" s="11" t="str">
        <f aca="false">IF(AND(D20&lt;=$B$7,A20&lt;=$B$8),"yes","no")</f>
        <v>no</v>
      </c>
      <c r="F20" s="28" t="n">
        <f aca="false">A20*$B$10</f>
        <v>1200</v>
      </c>
    </row>
    <row r="21" customFormat="false" ht="15" hidden="false" customHeight="true" outlineLevel="0" collapsed="false">
      <c r="A21" s="13" t="n">
        <v>3.5</v>
      </c>
      <c r="B21" s="26" t="n">
        <f aca="false">A21/$B$3</f>
        <v>0.875</v>
      </c>
      <c r="C21" s="27" t="n">
        <f aca="false">$B$4+$B$5*B21/(1-B21)</f>
        <v>2.065</v>
      </c>
      <c r="D21" s="27" t="n">
        <f aca="false">$B$4+$B$6*B21/(1-B21)</f>
        <v>11.9</v>
      </c>
      <c r="E21" s="11" t="str">
        <f aca="false">IF(AND(D21&lt;=$B$7,A21&lt;=$B$8),"yes","no")</f>
        <v>no</v>
      </c>
      <c r="F21" s="28" t="n">
        <f aca="false">A21*$B$10</f>
        <v>1400</v>
      </c>
    </row>
    <row r="22" customFormat="false" ht="15" hidden="false" customHeight="true" outlineLevel="0" collapsed="false">
      <c r="A22" s="13" t="n">
        <v>3.75</v>
      </c>
      <c r="B22" s="26" t="n">
        <f aca="false">A22/$B$3</f>
        <v>0.9375</v>
      </c>
      <c r="C22" s="27" t="n">
        <f aca="false">$B$4+$B$5*B22/(1-B22)</f>
        <v>4.025</v>
      </c>
      <c r="D22" s="27" t="n">
        <f aca="false">$B$4+$B$6*B22/(1-B22)</f>
        <v>25.1</v>
      </c>
      <c r="E22" s="11" t="str">
        <f aca="false">IF(AND(D22&lt;=$B$7,A22&lt;=$B$8),"yes","no")</f>
        <v>no</v>
      </c>
      <c r="F22" s="28" t="n">
        <f aca="false">A22*$B$10</f>
        <v>1500</v>
      </c>
    </row>
    <row r="24" customFormat="false" ht="15" hidden="false" customHeight="true" outlineLevel="0" collapsed="false">
      <c r="A24" s="16" t="s">
        <v>107</v>
      </c>
      <c r="B24" s="19" t="n">
        <f aca="false">B3*B10</f>
        <v>1600</v>
      </c>
    </row>
    <row r="25" customFormat="false" ht="15" hidden="false" customHeight="true" outlineLevel="0" collapsed="false">
      <c r="A25" s="16" t="s">
        <v>108</v>
      </c>
      <c r="B25" s="22" t="n">
        <f aca="false">B4+B5*(B9/B3)/(1-B9/B3)</f>
        <v>0.525600858369099</v>
      </c>
    </row>
    <row r="26" customFormat="false" ht="15" hidden="false" customHeight="true" outlineLevel="0" collapsed="false">
      <c r="A26" s="16" t="s">
        <v>109</v>
      </c>
      <c r="B26" s="22" t="n">
        <f aca="false">(B7-B4)/(B7-B4+B5)*B3</f>
        <v>3.48284960422164</v>
      </c>
    </row>
    <row r="27" customFormat="false" ht="15" hidden="false" customHeight="true" outlineLevel="0" collapsed="false">
      <c r="A27" s="16" t="s">
        <v>110</v>
      </c>
      <c r="B27" s="22" t="n">
        <f aca="false">(B7-B4)/(B7-B4+B6)*B3</f>
        <v>2</v>
      </c>
    </row>
    <row r="28" customFormat="false" ht="15" hidden="false" customHeight="true" outlineLevel="0" collapsed="false">
      <c r="A28" s="16" t="s">
        <v>111</v>
      </c>
      <c r="B28" s="16" t="str">
        <f aca="false">IF(B27&lt;=B8,"TTFT","ITL")</f>
        <v>TTFT</v>
      </c>
    </row>
    <row r="29" customFormat="false" ht="15" hidden="false" customHeight="true" outlineLevel="0" collapsed="false">
      <c r="A29" s="16" t="s">
        <v>112</v>
      </c>
      <c r="B29" s="22" t="n">
        <f aca="false">MIN(B27,B8)</f>
        <v>2</v>
      </c>
    </row>
    <row r="30" customFormat="false" ht="15" hidden="false" customHeight="true" outlineLevel="0" collapsed="false">
      <c r="A30" s="16" t="s">
        <v>113</v>
      </c>
      <c r="B30" s="24" t="n">
        <f aca="false">B29/B3</f>
        <v>0.5</v>
      </c>
    </row>
    <row r="31" customFormat="false" ht="15" hidden="false" customHeight="true" outlineLevel="0" collapsed="false">
      <c r="A31" s="16" t="s">
        <v>114</v>
      </c>
      <c r="B31" s="22" t="n">
        <f aca="false">B29/B9</f>
        <v>1.19760479041916</v>
      </c>
    </row>
    <row r="32" customFormat="false" ht="15" hidden="false" customHeight="true" outlineLevel="0" collapsed="false">
      <c r="A32" s="16" t="s">
        <v>115</v>
      </c>
      <c r="B32" s="24" t="n">
        <f aca="false">B31-1</f>
        <v>0.197604790419162</v>
      </c>
    </row>
    <row r="33" customFormat="false" ht="15" hidden="false" customHeight="true" outlineLevel="0" collapsed="false">
      <c r="A33" s="16" t="s">
        <v>116</v>
      </c>
      <c r="B33" s="24" t="n">
        <f aca="false">B26/B29-1</f>
        <v>0.741424802110818</v>
      </c>
    </row>
    <row r="34" customFormat="false" ht="15" hidden="false" customHeight="true" outlineLevel="0" collapsed="false">
      <c r="A34" s="16" t="s">
        <v>117</v>
      </c>
      <c r="B34" s="24" t="n">
        <f aca="false">B3/B29-1</f>
        <v>1</v>
      </c>
    </row>
    <row r="36" customFormat="false" ht="15" hidden="false" customHeight="true" outlineLevel="0" collapsed="false">
      <c r="A36" s="20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2026-10-02T15:22:49Z</dcterms:created>
  <dc:creator>Leonhard Korowajczuk</dc:creator>
  <dc:description/>
  <dc:language>en-US</dc:language>
  <cp:lastModifiedBy>Leonhard Korowajczuk</cp:lastModifiedBy>
  <dcterms:modified xsi:type="dcterms:W3CDTF">2026-10-20T17:46:35Z</dcterms:modified>
  <cp:revision>0</cp:revision>
  <dc:subject/>
  <dc:title>Serving Engines and Runtimes — companion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