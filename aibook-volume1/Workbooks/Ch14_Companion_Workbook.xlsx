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lock Quantization" sheetId="2" state="visible" r:id="rId4"/>
    <sheet name="Sizing" sheetId="3" state="visible" r:id="rId5"/>
    <sheet name="Evaluation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<sst xmlns="http://schemas.openxmlformats.org/spreadsheetml/2006/main" count="131" uniqueCount="116">
  <si>
    <t xml:space="preserve">Chapter 14 — Quantization and Compression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</si>
  <si>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</si>
  <si>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</si>
  <si>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</si>
  <si>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</si>
  <si>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Block Quantization</t>
  </si>
  <si>
    <t xml:space="preserve">4-bit symmetric quantization of eight weights, with and without an outlier.</t>
  </si>
  <si>
    <t xml:space="preserve">Section 14.2, Worked Example 14.2, Figure 14.1</t>
  </si>
  <si>
    <t xml:space="preserve">Sizing</t>
  </si>
  <si>
    <t xml:space="preserve">Weights + KV cache + reserve against device memory (Worked Examples 14.1 and 14.4); weight memory at four precisions.</t>
  </si>
  <si>
    <t xml:space="preserve">Figure 14.4, Section 14.9</t>
  </si>
  <si>
    <t xml:space="preserve">Evaluation</t>
  </si>
  <si>
    <t xml:space="preserve">Standard errors, 95% interval and detectable difference of an accuracy comparison, with Table 14.1 figures.</t>
  </si>
  <si>
    <t xml:space="preserve">Section 14.7, Worked Example 14.3</t>
  </si>
  <si>
    <t xml:space="preserve">Notes</t>
  </si>
  <si>
    <t xml:space="preserve">Units: 1 GB = 10⁹ bytes; Table 14.1 file sizes are in GiB (1 GiB = 1.074 GB).</t>
  </si>
  <si>
    <t xml:space="preserve">Symmetric Block Quantization and the Outlier Problem (Worked Example 14.2, Figure 14.1)</t>
  </si>
  <si>
    <t xml:space="preserve">Bits q</t>
  </si>
  <si>
    <t xml:space="preserve">Max level 2^(q−1) − 1</t>
  </si>
  <si>
    <t xml:space="preserve">Scale s = max|w| ÷ max level</t>
  </si>
  <si>
    <t xml:space="preserve">Weight w</t>
  </si>
  <si>
    <t xml:space="preserve">Code q</t>
  </si>
  <si>
    <t xml:space="preserve">Reconstructed ŵ</t>
  </si>
  <si>
    <t xml:space="preserve">Error w − ŵ</t>
  </si>
  <si>
    <t xml:space="preserve">Squared error</t>
  </si>
  <si>
    <t xml:space="preserve">RMS error</t>
  </si>
  <si>
    <t xml:space="preserve">RMS weight</t>
  </si>
  <si>
    <t xml:space="preserve">Relative error</t>
  </si>
  <si>
    <t xml:space="preserve">Bits per weight with a 16-bit scale per block of</t>
  </si>
  <si>
    <t xml:space="preserve">With one outlier: last weight replaced by</t>
  </si>
  <si>
    <t xml:space="preserve">Scale with the outlier</t>
  </si>
  <si>
    <t xml:space="preserve">Other seven weights</t>
  </si>
  <si>
    <t xml:space="preserve">Code</t>
  </si>
  <si>
    <t xml:space="preserve">RMS error of the other seven weights</t>
  </si>
  <si>
    <t xml:space="preserve">Times the RMS error without the outlier</t>
  </si>
  <si>
    <t xml:space="preserve">Distinct levels used by the other seven</t>
  </si>
  <si>
    <t xml:space="preserve">One large weight stretches the scale and squeezes the other seven weights into three levels (end of Worked Example 14.2); 16-bit scales on blocks of 32 cost 0.5 bit per weight (Section 14.2).</t>
  </si>
  <si>
    <t xml:space="preserve">Does It Fit? Weights + KV Cache + Reserve (Worked Examples 14.1 and 14.4)</t>
  </si>
  <si>
    <t xml:space="preserve">Total parameters (B)</t>
  </si>
  <si>
    <t xml:space="preserve">Bits per weight</t>
  </si>
  <si>
    <t xml:space="preserve">KV bytes per token (BF16)</t>
  </si>
  <si>
    <t xml:space="preserve">KV cache bits per value (16 BF16; 8.5 q8_0)</t>
  </si>
  <si>
    <t xml:space="preserve">Context tokens</t>
  </si>
  <si>
    <t xml:space="preserve">Runtime reserve (GB)</t>
  </si>
  <si>
    <t xml:space="preserve">Device memory (GB)</t>
  </si>
  <si>
    <t xml:space="preserve">Memory bandwidth (GB/s)</t>
  </si>
  <si>
    <t xml:space="preserve">Active parameters (B; = total for dense)</t>
  </si>
  <si>
    <t xml:space="preserve">Weights (GB)</t>
  </si>
  <si>
    <t xml:space="preserve">KV cache (GB)</t>
  </si>
  <si>
    <t xml:space="preserve">Total (GB)</t>
  </si>
  <si>
    <t xml:space="preserve">Spare (GB; negative = does not fit)</t>
  </si>
  <si>
    <t xml:space="preserve">Fits?</t>
  </si>
  <si>
    <t xml:space="preserve">Available for weights (GB)</t>
  </si>
  <si>
    <t xml:space="preserve">Max bits per weight for this context</t>
  </si>
  <si>
    <t xml:space="preserve">Decode ceiling (tokens/s)</t>
  </si>
  <si>
    <t xml:space="preserve">Options for Qwen3-32B on the recommended Box (Worked Example 14.4)</t>
  </si>
  <si>
    <t xml:space="preserve">Option</t>
  </si>
  <si>
    <t xml:space="preserve">KV cache bits per value</t>
  </si>
  <si>
    <t xml:space="preserve">Spare (GB)</t>
  </si>
  <si>
    <t xml:space="preserve">Q4_K_M</t>
  </si>
  <si>
    <t xml:space="preserve">IQ4_XS, low end</t>
  </si>
  <si>
    <t xml:space="preserve">IQ4_XS, high end</t>
  </si>
  <si>
    <t xml:space="preserve">Q4_K_S</t>
  </si>
  <si>
    <t xml:space="preserve">Q4_K_M with an 8-bit cache (q8_0)</t>
  </si>
  <si>
    <t xml:space="preserve">Alternatives on the same Box (Worked Example 14.4)</t>
  </si>
  <si>
    <t xml:space="preserve">Model and format</t>
  </si>
  <si>
    <t xml:space="preserve">Parameters (B)</t>
  </si>
  <si>
    <t xml:space="preserve">Left for the KV cache (GB)</t>
  </si>
  <si>
    <t xml:space="preserve">Qwen3-14B at Q5_K_M</t>
  </si>
  <si>
    <t xml:space="preserve">Qwen3-30B-A3B at Q4_K_M</t>
  </si>
  <si>
    <t xml:space="preserve">Llama 3.1 70B at three precisions (Worked Example 14.1)</t>
  </si>
  <si>
    <t xml:space="preserve">RTX PRO 6000 Blackwell: memory (GB)</t>
  </si>
  <si>
    <t xml:space="preserve">RTX PRO 6000 Blackwell: bandwidth (GB/s)</t>
  </si>
  <si>
    <t xml:space="preserve">DGX Spark: memory (GB)</t>
  </si>
  <si>
    <t xml:space="preserve">DGX Spark: bandwidth (GB/s)</t>
  </si>
  <si>
    <t xml:space="preserve">Recommended Box GPU memory (GB)</t>
  </si>
  <si>
    <t xml:space="preserve">Precision</t>
  </si>
  <si>
    <t xml:space="preserve">Spare on the RTX PRO 6000 (GB)</t>
  </si>
  <si>
    <t xml:space="preserve">Ceiling on the RTX PRO 6000 (tokens/s)</t>
  </si>
  <si>
    <t xml:space="preserve">Spare on the DGX Spark (GB)</t>
  </si>
  <si>
    <t xml:space="preserve">Ceiling on the DGX Spark (tokens/s)</t>
  </si>
  <si>
    <t xml:space="preserve">BF16</t>
  </si>
  <si>
    <t xml:space="preserve">Q8_0 (8-bit)</t>
  </si>
  <si>
    <t xml:space="preserve">Bits per weight that fit 24 GB, no cache</t>
  </si>
  <si>
    <t xml:space="preserve">Weight memory at the four precisions of Figure 14.4 (weights only)</t>
  </si>
  <si>
    <t xml:space="preserve">BF16 (GB)</t>
  </si>
  <si>
    <t xml:space="preserve">Q8_0 (GB)</t>
  </si>
  <si>
    <t xml:space="preserve">Q4_K_M (GB)</t>
  </si>
  <si>
    <t xml:space="preserve">Q2_K (GB)</t>
  </si>
  <si>
    <t xml:space="preserve">KV bytes per token of Qwen3-32B: 2 × 64 layers × 8 KV heads × 128 × 2 bytes (Worked Example 8.4); llama.cpp q8_0 caches store 8.5 bits per value. Worked Example 14.1 divides bandwidth by the weights in whole GB (1,792 ÷ 43).</t>
  </si>
  <si>
    <t xml:space="preserve">Figure 14.4 plots 8B, 32B, 70B, 117B (MoE) and 235B (MoE) models; add the KV cache and a 1–4 GB runtime reserve to its weights (Section 14.9, Table 14.2).</t>
  </si>
  <si>
    <t xml:space="preserve">Is the Quality Difference Real? (Worked Example 14.3)</t>
  </si>
  <si>
    <t xml:space="preserve">Questions</t>
  </si>
  <si>
    <t xml:space="preserve">Correct, model A (e.g. Q8_0)</t>
  </si>
  <si>
    <t xml:space="preserve">Correct, model B (e.g. Q4_K_M)</t>
  </si>
  <si>
    <t xml:space="preserve">Accuracy A</t>
  </si>
  <si>
    <t xml:space="preserve">Accuracy B</t>
  </si>
  <si>
    <t xml:space="preserve">Difference</t>
  </si>
  <si>
    <t xml:space="preserve">Standard error of each rate</t>
  </si>
  <si>
    <t xml:space="preserve">Standard error of the difference (independent)</t>
  </si>
  <si>
    <t xml:space="preserve">95% interval of the difference, low</t>
  </si>
  <si>
    <t xml:space="preserve">95% interval, high</t>
  </si>
  <si>
    <t xml:space="preserve">Significant at 95%?</t>
  </si>
  <si>
    <t xml:space="preserve">Smallest significant difference (1.96 × SE)</t>
  </si>
  <si>
    <t xml:space="preserve">Difference found with 80% power (2.8 × SE)</t>
  </si>
  <si>
    <t xml:space="preserve">Reference perplexity of the base model</t>
  </si>
  <si>
    <t xml:space="preserve">Perplexity increase, model A (Table 14.1)</t>
  </si>
  <si>
    <t xml:space="preserve">Perplexity increase, model B (Table 14.1)</t>
  </si>
  <si>
    <t xml:space="preserve">File size, model A (GiB, Table 14.1)</t>
  </si>
  <si>
    <t xml:space="preserve">File size, model B (GiB, Table 14.1)</t>
  </si>
  <si>
    <t xml:space="preserve">Perplexity, model A</t>
  </si>
  <si>
    <t xml:space="preserve">Perplexity, model B</t>
  </si>
  <si>
    <t xml:space="preserve">Relative perplexity increase, model B</t>
  </si>
  <si>
    <t xml:space="preserve">Memory saved by model B</t>
  </si>
  <si>
    <t xml:space="preserve">Decode speed-up of model B (bandwidth-bound)</t>
  </si>
  <si>
    <t xml:space="preserve">Same questions for both models: a paired test (McNemar) on the questions where they disagree is more sensitive; this independent estimate is conservative. Judge on your own evaluation set, as in Chapter 26 (Volume 2).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</si>
</sst>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000"/>
    <numFmt numFmtId="167" formatCode="0.000"/>
    <numFmt numFmtId="168" formatCode="0.000000"/>
    <numFmt numFmtId="169" formatCode="0.0%"/>
    <numFmt numFmtId="170" formatCode="0.00"/>
    <numFmt numFmtId="171" formatCode="0.0"/>
    <numFmt numFmtId="172" formatCode="#,##0"/>
    <numFmt numFmtId="173" formatCode="#,##0.0"/>
    <numFmt numFmtId="174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30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30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4"/>
    </row>
    <row r="9" customFormat="false" ht="15" hidden="false" customHeight="false" outlineLevel="0" collapsed="false">
      <c r="A9" s="8" t="s">
        <v>14</v>
      </c>
    </row>
    <row r="10" customFormat="false" ht="15" hidden="false" customHeight="true" outlineLevel="0" collapsed="false">
      <c r="A10" s="9" t="s">
        <v>15</v>
      </c>
      <c r="B10" s="9"/>
      <c r="C10" s="9"/>
    </row>
  </sheetData>
  <mergeCells count="2">
    <mergeCell ref="A2:C2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15.75" hidden="false" customHeight="true" outlineLevel="0" collapsed="false">
      <c r="A1" s="10" t="s">
        <v>16</v>
      </c>
    </row>
    <row r="3" customFormat="false" ht="15" hidden="false" customHeight="true" outlineLevel="0" collapsed="false">
      <c r="A3" s="11" t="s">
        <v>17</v>
      </c>
      <c r="B3" s="12" t="n">
        <v>4</v>
      </c>
    </row>
    <row r="4" customFormat="false" ht="15" hidden="false" customHeight="true" outlineLevel="0" collapsed="false">
      <c r="A4" s="11" t="s">
        <v>18</v>
      </c>
      <c r="B4" s="13" t="n">
        <f aca="false">2^(B3-1)-1</f>
        <v>7</v>
      </c>
    </row>
    <row r="5" customFormat="false" ht="15" hidden="false" customHeight="true" outlineLevel="0" collapsed="false">
      <c r="A5" s="11" t="s">
        <v>19</v>
      </c>
      <c r="B5" s="14" t="n">
        <f aca="false">MAX(ABS(MAX(A9:A16)),ABS(MIN(A9:A16)))/B4</f>
        <v>0.0571428571428572</v>
      </c>
    </row>
    <row r="8" customFormat="false" ht="15" hidden="false" customHeight="true" outlineLevel="0" collapsed="false">
      <c r="A8" s="15" t="s">
        <v>20</v>
      </c>
      <c r="B8" s="15" t="s">
        <v>21</v>
      </c>
      <c r="C8" s="15" t="s">
        <v>22</v>
      </c>
      <c r="D8" s="15" t="s">
        <v>23</v>
      </c>
      <c r="E8" s="15" t="s">
        <v>24</v>
      </c>
    </row>
    <row r="9" customFormat="false" ht="15" hidden="false" customHeight="true" outlineLevel="0" collapsed="false">
      <c r="A9" s="16" t="n">
        <v>0.12</v>
      </c>
      <c r="B9" s="13" t="n">
        <f aca="false">MAX(-$B$4,MIN($B$4,ROUND(A9/$B$5,0)))</f>
        <v>2</v>
      </c>
      <c r="C9" s="17" t="n">
        <f aca="false">B9*$B$5</f>
        <v>0.114285714285714</v>
      </c>
      <c r="D9" s="17" t="n">
        <f aca="false">A9-C9</f>
        <v>0.0057142857142857</v>
      </c>
      <c r="E9" s="18" t="n">
        <f aca="false">D9^2</f>
        <v>3.26530612244896E-005</v>
      </c>
    </row>
    <row r="10" customFormat="false" ht="15" hidden="false" customHeight="true" outlineLevel="0" collapsed="false">
      <c r="A10" s="16" t="n">
        <v>-0.4</v>
      </c>
      <c r="B10" s="13" t="n">
        <f aca="false">MAX(-$B$4,MIN($B$4,ROUND(A10/$B$5,0)))</f>
        <v>-7</v>
      </c>
      <c r="C10" s="17" t="n">
        <f aca="false">B10*$B$5</f>
        <v>-0.4</v>
      </c>
      <c r="D10" s="17" t="n">
        <f aca="false">A10-C10</f>
        <v>0</v>
      </c>
      <c r="E10" s="18" t="n">
        <f aca="false">D10^2</f>
        <v>0</v>
      </c>
    </row>
    <row r="11" customFormat="false" ht="15" hidden="false" customHeight="true" outlineLevel="0" collapsed="false">
      <c r="A11" s="16" t="n">
        <v>0.05</v>
      </c>
      <c r="B11" s="13" t="n">
        <f aca="false">MAX(-$B$4,MIN($B$4,ROUND(A11/$B$5,0)))</f>
        <v>1</v>
      </c>
      <c r="C11" s="17" t="n">
        <f aca="false">B11*$B$5</f>
        <v>0.0571428571428572</v>
      </c>
      <c r="D11" s="17" t="n">
        <f aca="false">A11-C11</f>
        <v>-0.00714285714285715</v>
      </c>
      <c r="E11" s="18" t="n">
        <f aca="false">D11^2</f>
        <v>5.10204081632653E-005</v>
      </c>
    </row>
    <row r="12" customFormat="false" ht="15" hidden="false" customHeight="true" outlineLevel="0" collapsed="false">
      <c r="A12" s="16" t="n">
        <v>0.31</v>
      </c>
      <c r="B12" s="13" t="n">
        <f aca="false">MAX(-$B$4,MIN($B$4,ROUND(A12/$B$5,0)))</f>
        <v>5</v>
      </c>
      <c r="C12" s="17" t="n">
        <f aca="false">B12*$B$5</f>
        <v>0.285714285714286</v>
      </c>
      <c r="D12" s="17" t="n">
        <f aca="false">A12-C12</f>
        <v>0.0242857142857142</v>
      </c>
      <c r="E12" s="18" t="n">
        <f aca="false">D12^2</f>
        <v>0.000589795918367345</v>
      </c>
    </row>
    <row r="13" customFormat="false" ht="15" hidden="false" customHeight="true" outlineLevel="0" collapsed="false">
      <c r="A13" s="16" t="n">
        <v>-0.08</v>
      </c>
      <c r="B13" s="13" t="n">
        <f aca="false">MAX(-$B$4,MIN($B$4,ROUND(A13/$B$5,0)))</f>
        <v>-1</v>
      </c>
      <c r="C13" s="17" t="n">
        <f aca="false">B13*$B$5</f>
        <v>-0.0571428571428572</v>
      </c>
      <c r="D13" s="17" t="n">
        <f aca="false">A13-C13</f>
        <v>-0.0228571428571429</v>
      </c>
      <c r="E13" s="18" t="n">
        <f aca="false">D13^2</f>
        <v>0.000522448979591837</v>
      </c>
    </row>
    <row r="14" customFormat="false" ht="15" hidden="false" customHeight="true" outlineLevel="0" collapsed="false">
      <c r="A14" s="16" t="n">
        <v>0.22</v>
      </c>
      <c r="B14" s="13" t="n">
        <f aca="false">MAX(-$B$4,MIN($B$4,ROUND(A14/$B$5,0)))</f>
        <v>4</v>
      </c>
      <c r="C14" s="17" t="n">
        <f aca="false">B14*$B$5</f>
        <v>0.228571428571429</v>
      </c>
      <c r="D14" s="17" t="n">
        <f aca="false">A14-C14</f>
        <v>-0.00857142857142859</v>
      </c>
      <c r="E14" s="18" t="n">
        <f aca="false">D14^2</f>
        <v>7.34693877551024E-005</v>
      </c>
    </row>
    <row r="15" customFormat="false" ht="15" hidden="false" customHeight="true" outlineLevel="0" collapsed="false">
      <c r="A15" s="16" t="n">
        <v>-0.15</v>
      </c>
      <c r="B15" s="13" t="n">
        <f aca="false">MAX(-$B$4,MIN($B$4,ROUND(A15/$B$5,0)))</f>
        <v>-3</v>
      </c>
      <c r="C15" s="17" t="n">
        <f aca="false">B15*$B$5</f>
        <v>-0.171428571428571</v>
      </c>
      <c r="D15" s="17" t="n">
        <f aca="false">A15-C15</f>
        <v>0.0214285714285714</v>
      </c>
      <c r="E15" s="18" t="n">
        <f aca="false">D15^2</f>
        <v>0.000459183673469388</v>
      </c>
    </row>
    <row r="16" customFormat="false" ht="15" hidden="false" customHeight="true" outlineLevel="0" collapsed="false">
      <c r="A16" s="16" t="n">
        <v>0.36</v>
      </c>
      <c r="B16" s="13" t="n">
        <f aca="false">MAX(-$B$4,MIN($B$4,ROUND(A16/$B$5,0)))</f>
        <v>6</v>
      </c>
      <c r="C16" s="17" t="n">
        <f aca="false">B16*$B$5</f>
        <v>0.342857142857143</v>
      </c>
      <c r="D16" s="17" t="n">
        <f aca="false">A16-C16</f>
        <v>0.0171428571428571</v>
      </c>
      <c r="E16" s="18" t="n">
        <f aca="false">D16^2</f>
        <v>0.000293877551020408</v>
      </c>
    </row>
    <row r="18" customFormat="false" ht="15" hidden="false" customHeight="true" outlineLevel="0" collapsed="false">
      <c r="A18" s="19" t="s">
        <v>25</v>
      </c>
      <c r="B18" s="14" t="n">
        <f aca="false">SQRT(AVERAGE(E9:E16))</f>
        <v>0.0158998780639658</v>
      </c>
    </row>
    <row r="19" customFormat="false" ht="15" hidden="false" customHeight="true" outlineLevel="0" collapsed="false">
      <c r="A19" s="11" t="s">
        <v>26</v>
      </c>
      <c r="B19" s="20" t="n">
        <f aca="false">SQRT(SUMSQ(A9:A16)/8)</f>
        <v>0.244923457431092</v>
      </c>
    </row>
    <row r="20" customFormat="false" ht="15" hidden="false" customHeight="true" outlineLevel="0" collapsed="false">
      <c r="A20" s="19" t="s">
        <v>27</v>
      </c>
      <c r="B20" s="21" t="n">
        <f aca="false">B18/B19</f>
        <v>0.0649177429991127</v>
      </c>
    </row>
    <row r="21" customFormat="false" ht="15" hidden="false" customHeight="true" outlineLevel="0" collapsed="false">
      <c r="A21" s="11" t="s">
        <v>28</v>
      </c>
      <c r="B21" s="12" t="n">
        <v>32</v>
      </c>
      <c r="C21" s="22" t="n">
        <f aca="false">B3+16/B21</f>
        <v>4.5</v>
      </c>
    </row>
    <row r="23" customFormat="false" ht="15" hidden="false" customHeight="true" outlineLevel="0" collapsed="false">
      <c r="A23" s="11" t="s">
        <v>29</v>
      </c>
      <c r="B23" s="23" t="n">
        <v>2</v>
      </c>
    </row>
    <row r="24" customFormat="false" ht="15" hidden="false" customHeight="true" outlineLevel="0" collapsed="false">
      <c r="A24" s="11" t="s">
        <v>30</v>
      </c>
      <c r="B24" s="14" t="n">
        <f aca="false">MAX(ABS(MAX(A9:A15,B23)),ABS(MIN(A9:A15,B23)))/B4</f>
        <v>0.285714285714286</v>
      </c>
    </row>
    <row r="26" customFormat="false" ht="15" hidden="false" customHeight="true" outlineLevel="0" collapsed="false">
      <c r="A26" s="15" t="s">
        <v>31</v>
      </c>
      <c r="B26" s="15" t="s">
        <v>32</v>
      </c>
      <c r="C26" s="15" t="s">
        <v>22</v>
      </c>
      <c r="D26" s="15" t="s">
        <v>23</v>
      </c>
      <c r="E26" s="15" t="s">
        <v>24</v>
      </c>
    </row>
    <row r="27" customFormat="false" ht="15" hidden="false" customHeight="true" outlineLevel="0" collapsed="false">
      <c r="A27" s="17" t="n">
        <f aca="false">A9</f>
        <v>0.12</v>
      </c>
      <c r="B27" s="13" t="n">
        <f aca="false">MAX(-$B$4,MIN($B$4,ROUND(A27/$B$24,0)))</f>
        <v>0</v>
      </c>
      <c r="C27" s="17" t="n">
        <f aca="false">B27*$B$24</f>
        <v>0</v>
      </c>
      <c r="D27" s="17" t="n">
        <f aca="false">A27-C27</f>
        <v>0.12</v>
      </c>
      <c r="E27" s="18" t="n">
        <f aca="false">D27^2</f>
        <v>0.0144</v>
      </c>
    </row>
    <row r="28" customFormat="false" ht="15" hidden="false" customHeight="true" outlineLevel="0" collapsed="false">
      <c r="A28" s="17" t="n">
        <f aca="false">A10</f>
        <v>-0.4</v>
      </c>
      <c r="B28" s="13" t="n">
        <f aca="false">MAX(-$B$4,MIN($B$4,ROUND(A28/$B$24,0)))</f>
        <v>-1</v>
      </c>
      <c r="C28" s="17" t="n">
        <f aca="false">B28*$B$24</f>
        <v>-0.285714285714286</v>
      </c>
      <c r="D28" s="17" t="n">
        <f aca="false">A28-C28</f>
        <v>-0.114285714285714</v>
      </c>
      <c r="E28" s="18" t="n">
        <f aca="false">D28^2</f>
        <v>0.0130612244897959</v>
      </c>
    </row>
    <row r="29" customFormat="false" ht="15" hidden="false" customHeight="true" outlineLevel="0" collapsed="false">
      <c r="A29" s="17" t="n">
        <f aca="false">A11</f>
        <v>0.05</v>
      </c>
      <c r="B29" s="13" t="n">
        <f aca="false">MAX(-$B$4,MIN($B$4,ROUND(A29/$B$24,0)))</f>
        <v>0</v>
      </c>
      <c r="C29" s="17" t="n">
        <f aca="false">B29*$B$24</f>
        <v>0</v>
      </c>
      <c r="D29" s="17" t="n">
        <f aca="false">A29-C29</f>
        <v>0.05</v>
      </c>
      <c r="E29" s="18" t="n">
        <f aca="false">D29^2</f>
        <v>0.0025</v>
      </c>
    </row>
    <row r="30" customFormat="false" ht="15" hidden="false" customHeight="true" outlineLevel="0" collapsed="false">
      <c r="A30" s="17" t="n">
        <f aca="false">A12</f>
        <v>0.31</v>
      </c>
      <c r="B30" s="13" t="n">
        <f aca="false">MAX(-$B$4,MIN($B$4,ROUND(A30/$B$24,0)))</f>
        <v>1</v>
      </c>
      <c r="C30" s="17" t="n">
        <f aca="false">B30*$B$24</f>
        <v>0.285714285714286</v>
      </c>
      <c r="D30" s="17" t="n">
        <f aca="false">A30-C30</f>
        <v>0.0242857142857143</v>
      </c>
      <c r="E30" s="18" t="n">
        <f aca="false">D30^2</f>
        <v>0.000589795918367348</v>
      </c>
    </row>
    <row r="31" customFormat="false" ht="15" hidden="false" customHeight="true" outlineLevel="0" collapsed="false">
      <c r="A31" s="17" t="n">
        <f aca="false">A13</f>
        <v>-0.08</v>
      </c>
      <c r="B31" s="13" t="n">
        <f aca="false">MAX(-$B$4,MIN($B$4,ROUND(A31/$B$24,0)))</f>
        <v>-0</v>
      </c>
      <c r="C31" s="17" t="n">
        <f aca="false">B31*$B$24</f>
        <v>-0</v>
      </c>
      <c r="D31" s="17" t="n">
        <f aca="false">A31-C31</f>
        <v>-0.08</v>
      </c>
      <c r="E31" s="18" t="n">
        <f aca="false">D31^2</f>
        <v>0.0064</v>
      </c>
    </row>
    <row r="32" customFormat="false" ht="15" hidden="false" customHeight="true" outlineLevel="0" collapsed="false">
      <c r="A32" s="17" t="n">
        <f aca="false">A14</f>
        <v>0.22</v>
      </c>
      <c r="B32" s="13" t="n">
        <f aca="false">MAX(-$B$4,MIN($B$4,ROUND(A32/$B$24,0)))</f>
        <v>1</v>
      </c>
      <c r="C32" s="17" t="n">
        <f aca="false">B32*$B$24</f>
        <v>0.285714285714286</v>
      </c>
      <c r="D32" s="17" t="n">
        <f aca="false">A32-C32</f>
        <v>-0.0657142857142857</v>
      </c>
      <c r="E32" s="18" t="n">
        <f aca="false">D32^2</f>
        <v>0.00431836734693877</v>
      </c>
    </row>
    <row r="33" customFormat="false" ht="15" hidden="false" customHeight="true" outlineLevel="0" collapsed="false">
      <c r="A33" s="17" t="n">
        <f aca="false">A15</f>
        <v>-0.15</v>
      </c>
      <c r="B33" s="13" t="n">
        <f aca="false">MAX(-$B$4,MIN($B$4,ROUND(A33/$B$24,0)))</f>
        <v>-1</v>
      </c>
      <c r="C33" s="17" t="n">
        <f aca="false">B33*$B$24</f>
        <v>-0.285714285714286</v>
      </c>
      <c r="D33" s="17" t="n">
        <f aca="false">A33-C33</f>
        <v>0.135714285714286</v>
      </c>
      <c r="E33" s="18" t="n">
        <f aca="false">D33^2</f>
        <v>0.0184183673469388</v>
      </c>
    </row>
    <row r="35" customFormat="false" ht="15" hidden="false" customHeight="true" outlineLevel="0" collapsed="false">
      <c r="A35" s="19" t="s">
        <v>33</v>
      </c>
      <c r="B35" s="14" t="n">
        <f aca="false">SQRT(AVERAGE(E27:E33))</f>
        <v>0.0923407935716085</v>
      </c>
    </row>
    <row r="36" customFormat="false" ht="15" hidden="false" customHeight="true" outlineLevel="0" collapsed="false">
      <c r="A36" s="11" t="s">
        <v>34</v>
      </c>
      <c r="B36" s="24" t="n">
        <f aca="false">B35/B18</f>
        <v>5.80764161838967</v>
      </c>
    </row>
    <row r="37" customFormat="false" ht="15" hidden="false" customHeight="true" outlineLevel="0" collapsed="false">
      <c r="A37" s="11" t="s">
        <v>35</v>
      </c>
      <c r="B37" s="13" t="n">
        <f aca="false">SUMPRODUCT(1/COUNTIF(B27:B33,B27:B33))</f>
        <v>3</v>
      </c>
    </row>
    <row r="39" customFormat="false" ht="15" hidden="false" customHeight="true" outlineLevel="0" collapsed="false">
      <c r="A39" s="2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10" t="s">
        <v>37</v>
      </c>
    </row>
    <row r="3" customFormat="false" ht="15" hidden="false" customHeight="true" outlineLevel="0" collapsed="false">
      <c r="A3" s="11" t="s">
        <v>38</v>
      </c>
      <c r="B3" s="23" t="n">
        <v>32.8</v>
      </c>
    </row>
    <row r="4" customFormat="false" ht="15" hidden="false" customHeight="true" outlineLevel="0" collapsed="false">
      <c r="A4" s="11" t="s">
        <v>39</v>
      </c>
      <c r="B4" s="23" t="n">
        <v>4.9</v>
      </c>
    </row>
    <row r="5" customFormat="false" ht="15" hidden="false" customHeight="true" outlineLevel="0" collapsed="false">
      <c r="A5" s="11" t="s">
        <v>40</v>
      </c>
      <c r="B5" s="26" t="n">
        <v>262144</v>
      </c>
    </row>
    <row r="6" customFormat="false" ht="15" hidden="false" customHeight="true" outlineLevel="0" collapsed="false">
      <c r="A6" s="11" t="s">
        <v>41</v>
      </c>
      <c r="B6" s="27" t="n">
        <v>16</v>
      </c>
    </row>
    <row r="7" customFormat="false" ht="15" hidden="false" customHeight="true" outlineLevel="0" collapsed="false">
      <c r="A7" s="11" t="s">
        <v>42</v>
      </c>
      <c r="B7" s="26" t="n">
        <v>16384</v>
      </c>
    </row>
    <row r="8" customFormat="false" ht="15" hidden="false" customHeight="true" outlineLevel="0" collapsed="false">
      <c r="A8" s="11" t="s">
        <v>43</v>
      </c>
      <c r="B8" s="27" t="n">
        <v>1.5</v>
      </c>
    </row>
    <row r="9" customFormat="false" ht="15" hidden="false" customHeight="true" outlineLevel="0" collapsed="false">
      <c r="A9" s="11" t="s">
        <v>44</v>
      </c>
      <c r="B9" s="12" t="n">
        <v>24</v>
      </c>
    </row>
    <row r="10" customFormat="false" ht="15" hidden="false" customHeight="true" outlineLevel="0" collapsed="false">
      <c r="A10" s="11" t="s">
        <v>45</v>
      </c>
      <c r="B10" s="26" t="n">
        <v>672</v>
      </c>
    </row>
    <row r="11" customFormat="false" ht="15" hidden="false" customHeight="true" outlineLevel="0" collapsed="false">
      <c r="A11" s="11" t="s">
        <v>46</v>
      </c>
      <c r="B11" s="23" t="n">
        <v>32.8</v>
      </c>
    </row>
    <row r="13" customFormat="false" ht="15" hidden="false" customHeight="true" outlineLevel="0" collapsed="false">
      <c r="A13" s="19" t="s">
        <v>47</v>
      </c>
      <c r="B13" s="28" t="n">
        <f aca="false">B3*B4/8</f>
        <v>20.09</v>
      </c>
    </row>
    <row r="14" customFormat="false" ht="15" hidden="false" customHeight="true" outlineLevel="0" collapsed="false">
      <c r="A14" s="19" t="s">
        <v>48</v>
      </c>
      <c r="B14" s="28" t="n">
        <f aca="false">B5*B6/16*B7/1000000000</f>
        <v>4.294967296</v>
      </c>
    </row>
    <row r="15" customFormat="false" ht="15" hidden="false" customHeight="true" outlineLevel="0" collapsed="false">
      <c r="A15" s="19" t="s">
        <v>49</v>
      </c>
      <c r="B15" s="28" t="n">
        <f aca="false">B13+B14+B8</f>
        <v>25.884967296</v>
      </c>
    </row>
    <row r="16" customFormat="false" ht="15" hidden="false" customHeight="true" outlineLevel="0" collapsed="false">
      <c r="A16" s="19" t="s">
        <v>50</v>
      </c>
      <c r="B16" s="28" t="n">
        <f aca="false">B9-B15</f>
        <v>-1.884967296</v>
      </c>
    </row>
    <row r="17" customFormat="false" ht="15" hidden="false" customHeight="true" outlineLevel="0" collapsed="false">
      <c r="A17" s="19" t="s">
        <v>51</v>
      </c>
      <c r="B17" s="19" t="str">
        <f aca="false">IF(B15&lt;=B9,"yes","no")</f>
        <v>no</v>
      </c>
    </row>
    <row r="18" customFormat="false" ht="15" hidden="false" customHeight="true" outlineLevel="0" collapsed="false">
      <c r="A18" s="19" t="s">
        <v>52</v>
      </c>
      <c r="B18" s="28" t="n">
        <f aca="false">B9-B14-B8</f>
        <v>18.205032704</v>
      </c>
    </row>
    <row r="19" customFormat="false" ht="15" hidden="false" customHeight="true" outlineLevel="0" collapsed="false">
      <c r="A19" s="19" t="s">
        <v>53</v>
      </c>
      <c r="B19" s="22" t="n">
        <f aca="false">B18*8/B3</f>
        <v>4.44025187902439</v>
      </c>
    </row>
    <row r="20" customFormat="false" ht="15" hidden="false" customHeight="true" outlineLevel="0" collapsed="false">
      <c r="A20" s="19" t="s">
        <v>54</v>
      </c>
      <c r="B20" s="28" t="n">
        <f aca="false">B10/(B11*B4/8+B14)</f>
        <v>27.5579619132904</v>
      </c>
    </row>
    <row r="21" customFormat="false" ht="15" hidden="false" customHeight="true" outlineLevel="0" collapsed="false"/>
    <row r="22" customFormat="false" ht="15" hidden="false" customHeight="true" outlineLevel="0" collapsed="false">
      <c r="A22" s="29" t="s">
        <v>55</v>
      </c>
    </row>
    <row r="23" customFormat="false" ht="30" hidden="false" customHeight="true" outlineLevel="0" collapsed="false">
      <c r="A23" s="15" t="s">
        <v>56</v>
      </c>
      <c r="B23" s="15" t="s">
        <v>39</v>
      </c>
      <c r="C23" s="15" t="s">
        <v>57</v>
      </c>
      <c r="D23" s="15" t="s">
        <v>47</v>
      </c>
      <c r="E23" s="15" t="s">
        <v>48</v>
      </c>
      <c r="F23" s="15" t="s">
        <v>58</v>
      </c>
      <c r="G23" s="15" t="s">
        <v>51</v>
      </c>
    </row>
    <row r="24" customFormat="false" ht="15" hidden="false" customHeight="true" outlineLevel="0" collapsed="false">
      <c r="A24" s="11" t="s">
        <v>59</v>
      </c>
      <c r="B24" s="23" t="n">
        <v>4.9</v>
      </c>
      <c r="C24" s="27" t="n">
        <v>16</v>
      </c>
      <c r="D24" s="24" t="n">
        <f aca="false">$B$3*B24/8</f>
        <v>20.09</v>
      </c>
      <c r="E24" s="24" t="n">
        <f aca="false">$B$5*C24/16*$B$7/1000000000</f>
        <v>4.294967296</v>
      </c>
      <c r="F24" s="24" t="n">
        <f aca="false">$B$9-D24-E24-$B$8</f>
        <v>-1.884967296</v>
      </c>
      <c r="G24" s="11" t="str">
        <f aca="false">IF(F24&gt;=0,"yes","no")</f>
        <v>no</v>
      </c>
    </row>
    <row r="25" customFormat="false" ht="15" hidden="false" customHeight="true" outlineLevel="0" collapsed="false">
      <c r="A25" s="11" t="s">
        <v>60</v>
      </c>
      <c r="B25" s="23" t="n">
        <v>4.25</v>
      </c>
      <c r="C25" s="27" t="n">
        <v>16</v>
      </c>
      <c r="D25" s="24" t="n">
        <f aca="false">$B$3*B25/8</f>
        <v>17.425</v>
      </c>
      <c r="E25" s="24" t="n">
        <f aca="false">$B$5*C25/16*$B$7/1000000000</f>
        <v>4.294967296</v>
      </c>
      <c r="F25" s="24" t="n">
        <f aca="false">$B$9-D25-E25-$B$8</f>
        <v>0.780032704000003</v>
      </c>
      <c r="G25" s="11" t="str">
        <f aca="false">IF(F25&gt;=0,"yes","no")</f>
        <v>yes</v>
      </c>
    </row>
    <row r="26" customFormat="false" ht="15" hidden="false" customHeight="true" outlineLevel="0" collapsed="false">
      <c r="A26" s="11" t="s">
        <v>61</v>
      </c>
      <c r="B26" s="23" t="n">
        <v>4.4</v>
      </c>
      <c r="C26" s="27" t="n">
        <v>16</v>
      </c>
      <c r="D26" s="24" t="n">
        <f aca="false">$B$3*B26/8</f>
        <v>18.04</v>
      </c>
      <c r="E26" s="24" t="n">
        <f aca="false">$B$5*C26/16*$B$7/1000000000</f>
        <v>4.294967296</v>
      </c>
      <c r="F26" s="24" t="n">
        <f aca="false">$B$9-D26-E26-$B$8</f>
        <v>0.165032704000001</v>
      </c>
      <c r="G26" s="11" t="str">
        <f aca="false">IF(F26&gt;=0,"yes","no")</f>
        <v>yes</v>
      </c>
    </row>
    <row r="27" customFormat="false" ht="15" hidden="false" customHeight="true" outlineLevel="0" collapsed="false">
      <c r="A27" s="11" t="s">
        <v>62</v>
      </c>
      <c r="B27" s="23" t="n">
        <v>4.7</v>
      </c>
      <c r="C27" s="27" t="n">
        <v>16</v>
      </c>
      <c r="D27" s="24" t="n">
        <f aca="false">$B$3*B27/8</f>
        <v>19.27</v>
      </c>
      <c r="E27" s="24" t="n">
        <f aca="false">$B$5*C27/16*$B$7/1000000000</f>
        <v>4.294967296</v>
      </c>
      <c r="F27" s="24" t="n">
        <f aca="false">$B$9-D27-E27-$B$8</f>
        <v>-1.064967296</v>
      </c>
      <c r="G27" s="11" t="str">
        <f aca="false">IF(F27&gt;=0,"yes","no")</f>
        <v>no</v>
      </c>
    </row>
    <row r="28" customFormat="false" ht="15" hidden="false" customHeight="true" outlineLevel="0" collapsed="false">
      <c r="A28" s="11" t="s">
        <v>63</v>
      </c>
      <c r="B28" s="23" t="n">
        <v>4.9</v>
      </c>
      <c r="C28" s="27" t="n">
        <v>8.5</v>
      </c>
      <c r="D28" s="24" t="n">
        <f aca="false">$B$3*B28/8</f>
        <v>20.09</v>
      </c>
      <c r="E28" s="24" t="n">
        <f aca="false">$B$5*C28/16*$B$7/1000000000</f>
        <v>2.281701376</v>
      </c>
      <c r="F28" s="24" t="n">
        <f aca="false">$B$9-D28-E28-$B$8</f>
        <v>0.128298624</v>
      </c>
      <c r="G28" s="11" t="str">
        <f aca="false">IF(F28&gt;=0,"yes","no")</f>
        <v>yes</v>
      </c>
    </row>
    <row r="29" customFormat="false" ht="15" hidden="false" customHeight="true" outlineLevel="0" collapsed="false"/>
    <row r="30" customFormat="false" ht="15" hidden="false" customHeight="true" outlineLevel="0" collapsed="false">
      <c r="A30" s="29" t="s">
        <v>64</v>
      </c>
    </row>
    <row r="31" customFormat="false" ht="30" hidden="false" customHeight="true" outlineLevel="0" collapsed="false">
      <c r="A31" s="15" t="s">
        <v>65</v>
      </c>
      <c r="B31" s="15" t="s">
        <v>66</v>
      </c>
      <c r="C31" s="15" t="s">
        <v>39</v>
      </c>
      <c r="D31" s="15" t="s">
        <v>47</v>
      </c>
      <c r="E31" s="15" t="s">
        <v>67</v>
      </c>
    </row>
    <row r="32" customFormat="false" ht="15" hidden="false" customHeight="true" outlineLevel="0" collapsed="false">
      <c r="A32" s="11" t="s">
        <v>68</v>
      </c>
      <c r="B32" s="27" t="n">
        <v>14.8</v>
      </c>
      <c r="C32" s="23" t="n">
        <v>5.7</v>
      </c>
      <c r="D32" s="24" t="n">
        <f aca="false">B32*C32/8</f>
        <v>10.545</v>
      </c>
      <c r="E32" s="24" t="n">
        <f aca="false">$B$9-D32-$B$8</f>
        <v>11.955</v>
      </c>
    </row>
    <row r="33" customFormat="false" ht="15" hidden="false" customHeight="true" outlineLevel="0" collapsed="false">
      <c r="A33" s="11" t="s">
        <v>69</v>
      </c>
      <c r="B33" s="27" t="n">
        <v>30.5</v>
      </c>
      <c r="C33" s="23" t="n">
        <v>4.9</v>
      </c>
      <c r="D33" s="24" t="n">
        <f aca="false">B33*C33/8</f>
        <v>18.68125</v>
      </c>
      <c r="E33" s="24" t="n">
        <f aca="false">$B$9-D33-$B$8</f>
        <v>3.81875</v>
      </c>
    </row>
    <row r="35" customFormat="false" ht="15" hidden="false" customHeight="true" outlineLevel="0" collapsed="false">
      <c r="A35" s="29" t="s">
        <v>70</v>
      </c>
    </row>
    <row r="36" customFormat="false" ht="15" hidden="false" customHeight="true" outlineLevel="0" collapsed="false">
      <c r="A36" s="11" t="s">
        <v>66</v>
      </c>
      <c r="B36" s="27" t="n">
        <v>70.6</v>
      </c>
    </row>
    <row r="37" customFormat="false" ht="15" hidden="false" customHeight="true" outlineLevel="0" collapsed="false">
      <c r="A37" s="11" t="s">
        <v>71</v>
      </c>
      <c r="B37" s="12" t="n">
        <v>96</v>
      </c>
    </row>
    <row r="38" customFormat="false" ht="15" hidden="false" customHeight="true" outlineLevel="0" collapsed="false">
      <c r="A38" s="11" t="s">
        <v>72</v>
      </c>
      <c r="B38" s="26" t="n">
        <v>1792</v>
      </c>
    </row>
    <row r="39" customFormat="false" ht="15" hidden="false" customHeight="true" outlineLevel="0" collapsed="false">
      <c r="A39" s="11" t="s">
        <v>73</v>
      </c>
      <c r="B39" s="12" t="n">
        <v>128</v>
      </c>
    </row>
    <row r="40" customFormat="false" ht="15" hidden="false" customHeight="true" outlineLevel="0" collapsed="false">
      <c r="A40" s="11" t="s">
        <v>74</v>
      </c>
      <c r="B40" s="26" t="n">
        <v>273</v>
      </c>
    </row>
    <row r="41" customFormat="false" ht="15" hidden="false" customHeight="true" outlineLevel="0" collapsed="false">
      <c r="A41" s="11" t="s">
        <v>75</v>
      </c>
      <c r="B41" s="12" t="n">
        <v>24</v>
      </c>
    </row>
    <row r="43" customFormat="false" ht="45" hidden="false" customHeight="true" outlineLevel="0" collapsed="false">
      <c r="A43" s="15" t="s">
        <v>76</v>
      </c>
      <c r="B43" s="15" t="s">
        <v>39</v>
      </c>
      <c r="C43" s="15" t="s">
        <v>47</v>
      </c>
      <c r="D43" s="15" t="s">
        <v>77</v>
      </c>
      <c r="E43" s="15" t="s">
        <v>78</v>
      </c>
      <c r="F43" s="15" t="s">
        <v>79</v>
      </c>
      <c r="G43" s="15" t="s">
        <v>80</v>
      </c>
    </row>
    <row r="44" customFormat="false" ht="15" hidden="false" customHeight="true" outlineLevel="0" collapsed="false">
      <c r="A44" s="11" t="s">
        <v>81</v>
      </c>
      <c r="B44" s="27" t="n">
        <v>16</v>
      </c>
      <c r="C44" s="24" t="n">
        <f aca="false">$B$36*B44/8</f>
        <v>141.2</v>
      </c>
      <c r="D44" s="24" t="n">
        <f aca="false">$B$37-C44</f>
        <v>-45.2</v>
      </c>
      <c r="E44" s="24" t="str">
        <f aca="false">IF(D44&gt;=0,$B$38/ROUND(C44,0),"does not fit")</f>
        <v>does not fit</v>
      </c>
      <c r="F44" s="24" t="n">
        <f aca="false">$B$39-C44</f>
        <v>-13.2</v>
      </c>
      <c r="G44" s="24" t="str">
        <f aca="false">IF(F44&gt;=0,$B$40/ROUND(C44,0),"does not fit")</f>
        <v>does not fit</v>
      </c>
    </row>
    <row r="45" customFormat="false" ht="15" hidden="false" customHeight="true" outlineLevel="0" collapsed="false">
      <c r="A45" s="11" t="s">
        <v>82</v>
      </c>
      <c r="B45" s="27" t="n">
        <v>8.5</v>
      </c>
      <c r="C45" s="24" t="n">
        <f aca="false">$B$36*B45/8</f>
        <v>75.0125</v>
      </c>
      <c r="D45" s="24" t="n">
        <f aca="false">$B$37-C45</f>
        <v>20.9875</v>
      </c>
      <c r="E45" s="24" t="n">
        <f aca="false">IF(D45&gt;=0,$B$38/ROUND(C45,0),"does not fit")</f>
        <v>23.8933333333333</v>
      </c>
      <c r="F45" s="24" t="n">
        <f aca="false">$B$39-C45</f>
        <v>52.9875</v>
      </c>
      <c r="G45" s="24" t="n">
        <f aca="false">IF(F45&gt;=0,$B$40/ROUND(C45,0),"does not fit")</f>
        <v>3.64</v>
      </c>
    </row>
    <row r="46" customFormat="false" ht="15" hidden="false" customHeight="true" outlineLevel="0" collapsed="false">
      <c r="A46" s="11" t="s">
        <v>59</v>
      </c>
      <c r="B46" s="27" t="n">
        <v>4.9</v>
      </c>
      <c r="C46" s="24" t="n">
        <f aca="false">$B$36*B46/8</f>
        <v>43.2425</v>
      </c>
      <c r="D46" s="24" t="n">
        <f aca="false">$B$37-C46</f>
        <v>52.7575</v>
      </c>
      <c r="E46" s="24" t="n">
        <f aca="false">IF(D46&gt;=0,$B$38/ROUND(C46,0),"does not fit")</f>
        <v>41.6744186046512</v>
      </c>
      <c r="F46" s="24" t="n">
        <f aca="false">$B$39-C46</f>
        <v>84.7575</v>
      </c>
      <c r="G46" s="24" t="n">
        <f aca="false">IF(F46&gt;=0,$B$40/ROUND(C46,0),"does not fit")</f>
        <v>6.34883720930233</v>
      </c>
    </row>
    <row r="47" customFormat="false" ht="15" hidden="false" customHeight="true" outlineLevel="0" collapsed="false">
      <c r="A47" s="19" t="s">
        <v>83</v>
      </c>
      <c r="B47" s="28" t="n">
        <f aca="false">B41*8/B36</f>
        <v>2.71954674220963</v>
      </c>
    </row>
    <row r="49" customFormat="false" ht="15" hidden="false" customHeight="true" outlineLevel="0" collapsed="false">
      <c r="A49" s="29" t="s">
        <v>84</v>
      </c>
    </row>
    <row r="50" customFormat="false" ht="15" hidden="false" customHeight="true" outlineLevel="0" collapsed="false">
      <c r="A50" s="15" t="s">
        <v>66</v>
      </c>
      <c r="B50" s="15" t="s">
        <v>85</v>
      </c>
      <c r="C50" s="15" t="s">
        <v>86</v>
      </c>
      <c r="D50" s="15" t="s">
        <v>87</v>
      </c>
      <c r="E50" s="15" t="s">
        <v>88</v>
      </c>
    </row>
    <row r="51" customFormat="false" ht="15" hidden="false" customHeight="true" outlineLevel="0" collapsed="false">
      <c r="A51" s="11" t="s">
        <v>39</v>
      </c>
      <c r="B51" s="27" t="n">
        <v>16</v>
      </c>
      <c r="C51" s="27" t="n">
        <v>8.5</v>
      </c>
      <c r="D51" s="27" t="n">
        <v>4.9</v>
      </c>
      <c r="E51" s="27" t="n">
        <v>3.2</v>
      </c>
    </row>
    <row r="52" customFormat="false" ht="15" hidden="false" customHeight="true" outlineLevel="0" collapsed="false">
      <c r="A52" s="27" t="n">
        <v>1</v>
      </c>
      <c r="B52" s="30" t="n">
        <f aca="false">$A52*B$51/8</f>
        <v>2</v>
      </c>
      <c r="C52" s="30" t="n">
        <f aca="false">$A52*C$51/8</f>
        <v>1.0625</v>
      </c>
      <c r="D52" s="30" t="n">
        <f aca="false">$A52*D$51/8</f>
        <v>0.6125</v>
      </c>
      <c r="E52" s="30" t="n">
        <f aca="false">$A52*E$51/8</f>
        <v>0.4</v>
      </c>
    </row>
    <row r="53" customFormat="false" ht="15" hidden="false" customHeight="true" outlineLevel="0" collapsed="false">
      <c r="A53" s="27" t="n">
        <v>3</v>
      </c>
      <c r="B53" s="30" t="n">
        <f aca="false">$A53*B$51/8</f>
        <v>6</v>
      </c>
      <c r="C53" s="30" t="n">
        <f aca="false">$A53*C$51/8</f>
        <v>3.1875</v>
      </c>
      <c r="D53" s="30" t="n">
        <f aca="false">$A53*D$51/8</f>
        <v>1.8375</v>
      </c>
      <c r="E53" s="30" t="n">
        <f aca="false">$A53*E$51/8</f>
        <v>1.2</v>
      </c>
    </row>
    <row r="54" customFormat="false" ht="15" hidden="false" customHeight="true" outlineLevel="0" collapsed="false">
      <c r="A54" s="27" t="n">
        <v>8.03</v>
      </c>
      <c r="B54" s="30" t="n">
        <f aca="false">$A54*B$51/8</f>
        <v>16.06</v>
      </c>
      <c r="C54" s="30" t="n">
        <f aca="false">$A54*C$51/8</f>
        <v>8.531875</v>
      </c>
      <c r="D54" s="30" t="n">
        <f aca="false">$A54*D$51/8</f>
        <v>4.918375</v>
      </c>
      <c r="E54" s="30" t="n">
        <f aca="false">$A54*E$51/8</f>
        <v>3.212</v>
      </c>
    </row>
    <row r="55" customFormat="false" ht="15" hidden="false" customHeight="true" outlineLevel="0" collapsed="false">
      <c r="A55" s="27" t="n">
        <v>14</v>
      </c>
      <c r="B55" s="30" t="n">
        <f aca="false">$A55*B$51/8</f>
        <v>28</v>
      </c>
      <c r="C55" s="30" t="n">
        <f aca="false">$A55*C$51/8</f>
        <v>14.875</v>
      </c>
      <c r="D55" s="30" t="n">
        <f aca="false">$A55*D$51/8</f>
        <v>8.575</v>
      </c>
      <c r="E55" s="30" t="n">
        <f aca="false">$A55*E$51/8</f>
        <v>5.6</v>
      </c>
    </row>
    <row r="56" customFormat="false" ht="15" hidden="false" customHeight="true" outlineLevel="0" collapsed="false">
      <c r="A56" s="27" t="n">
        <v>32.8</v>
      </c>
      <c r="B56" s="30" t="n">
        <f aca="false">$A56*B$51/8</f>
        <v>65.6</v>
      </c>
      <c r="C56" s="30" t="n">
        <f aca="false">$A56*C$51/8</f>
        <v>34.85</v>
      </c>
      <c r="D56" s="30" t="n">
        <f aca="false">$A56*D$51/8</f>
        <v>20.09</v>
      </c>
      <c r="E56" s="30" t="n">
        <f aca="false">$A56*E$51/8</f>
        <v>13.12</v>
      </c>
    </row>
    <row r="57" customFormat="false" ht="15" hidden="false" customHeight="true" outlineLevel="0" collapsed="false">
      <c r="A57" s="27" t="n">
        <v>70.6</v>
      </c>
      <c r="B57" s="30" t="n">
        <f aca="false">$A57*B$51/8</f>
        <v>141.2</v>
      </c>
      <c r="C57" s="30" t="n">
        <f aca="false">$A57*C$51/8</f>
        <v>75.0125</v>
      </c>
      <c r="D57" s="30" t="n">
        <f aca="false">$A57*D$51/8</f>
        <v>43.2425</v>
      </c>
      <c r="E57" s="30" t="n">
        <f aca="false">$A57*E$51/8</f>
        <v>28.24</v>
      </c>
    </row>
    <row r="58" customFormat="false" ht="15" hidden="false" customHeight="true" outlineLevel="0" collapsed="false">
      <c r="A58" s="27" t="n">
        <v>117</v>
      </c>
      <c r="B58" s="30" t="n">
        <f aca="false">$A58*B$51/8</f>
        <v>234</v>
      </c>
      <c r="C58" s="30" t="n">
        <f aca="false">$A58*C$51/8</f>
        <v>124.3125</v>
      </c>
      <c r="D58" s="30" t="n">
        <f aca="false">$A58*D$51/8</f>
        <v>71.6625</v>
      </c>
      <c r="E58" s="30" t="n">
        <f aca="false">$A58*E$51/8</f>
        <v>46.8</v>
      </c>
    </row>
    <row r="59" customFormat="false" ht="15" hidden="false" customHeight="true" outlineLevel="0" collapsed="false">
      <c r="A59" s="27" t="n">
        <v>235</v>
      </c>
      <c r="B59" s="30" t="n">
        <f aca="false">$A59*B$51/8</f>
        <v>470</v>
      </c>
      <c r="C59" s="30" t="n">
        <f aca="false">$A59*C$51/8</f>
        <v>249.6875</v>
      </c>
      <c r="D59" s="30" t="n">
        <f aca="false">$A59*D$51/8</f>
        <v>143.9375</v>
      </c>
      <c r="E59" s="30" t="n">
        <f aca="false">$A59*E$51/8</f>
        <v>94</v>
      </c>
    </row>
    <row r="60" customFormat="false" ht="15" hidden="false" customHeight="true" outlineLevel="0" collapsed="false">
      <c r="A60" s="27" t="n">
        <v>405</v>
      </c>
      <c r="B60" s="30" t="n">
        <f aca="false">$A60*B$51/8</f>
        <v>810</v>
      </c>
      <c r="C60" s="30" t="n">
        <f aca="false">$A60*C$51/8</f>
        <v>430.3125</v>
      </c>
      <c r="D60" s="30" t="n">
        <f aca="false">$A60*D$51/8</f>
        <v>248.0625</v>
      </c>
      <c r="E60" s="30" t="n">
        <f aca="false">$A60*E$51/8</f>
        <v>162</v>
      </c>
    </row>
    <row r="61" customFormat="false" ht="15" hidden="false" customHeight="true" outlineLevel="0" collapsed="false">
      <c r="A61" s="27" t="n">
        <v>671</v>
      </c>
      <c r="B61" s="30" t="n">
        <f aca="false">$A61*B$51/8</f>
        <v>1342</v>
      </c>
      <c r="C61" s="30" t="n">
        <f aca="false">$A61*C$51/8</f>
        <v>712.9375</v>
      </c>
      <c r="D61" s="30" t="n">
        <f aca="false">$A61*D$51/8</f>
        <v>410.9875</v>
      </c>
      <c r="E61" s="30" t="n">
        <f aca="false">$A61*E$51/8</f>
        <v>268.4</v>
      </c>
    </row>
    <row r="63" customFormat="false" ht="15" hidden="false" customHeight="true" outlineLevel="0" collapsed="false">
      <c r="A63" s="25" t="s">
        <v>89</v>
      </c>
    </row>
    <row r="64" customFormat="false" ht="15" hidden="false" customHeight="true" outlineLevel="0" collapsed="false">
      <c r="A64" s="25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10" t="s">
        <v>91</v>
      </c>
    </row>
    <row r="3" customFormat="false" ht="15" hidden="false" customHeight="true" outlineLevel="0" collapsed="false">
      <c r="A3" s="11" t="s">
        <v>92</v>
      </c>
      <c r="B3" s="26" t="n">
        <v>300</v>
      </c>
    </row>
    <row r="4" customFormat="false" ht="15" hidden="false" customHeight="true" outlineLevel="0" collapsed="false">
      <c r="A4" s="11" t="s">
        <v>93</v>
      </c>
      <c r="B4" s="26" t="n">
        <v>241</v>
      </c>
    </row>
    <row r="5" customFormat="false" ht="15" hidden="false" customHeight="true" outlineLevel="0" collapsed="false">
      <c r="A5" s="11" t="s">
        <v>94</v>
      </c>
      <c r="B5" s="26" t="n">
        <v>236</v>
      </c>
    </row>
    <row r="7" customFormat="false" ht="15" hidden="false" customHeight="true" outlineLevel="0" collapsed="false">
      <c r="A7" s="19" t="s">
        <v>95</v>
      </c>
      <c r="B7" s="21" t="n">
        <f aca="false">B4/B3</f>
        <v>0.803333333333333</v>
      </c>
    </row>
    <row r="8" customFormat="false" ht="15" hidden="false" customHeight="true" outlineLevel="0" collapsed="false">
      <c r="A8" s="19" t="s">
        <v>96</v>
      </c>
      <c r="B8" s="21" t="n">
        <f aca="false">B5/B3</f>
        <v>0.786666666666667</v>
      </c>
    </row>
    <row r="9" customFormat="false" ht="15" hidden="false" customHeight="true" outlineLevel="0" collapsed="false">
      <c r="A9" s="19" t="s">
        <v>97</v>
      </c>
      <c r="B9" s="21" t="n">
        <f aca="false">B7-B8</f>
        <v>0.0166666666666667</v>
      </c>
    </row>
    <row r="10" customFormat="false" ht="15" hidden="false" customHeight="true" outlineLevel="0" collapsed="false">
      <c r="A10" s="19" t="s">
        <v>98</v>
      </c>
      <c r="B10" s="21" t="n">
        <f aca="false">SQRT(B7*(1-B7)/B3)</f>
        <v>0.0229484123553162</v>
      </c>
    </row>
    <row r="11" customFormat="false" ht="15" hidden="false" customHeight="true" outlineLevel="0" collapsed="false">
      <c r="A11" s="19" t="s">
        <v>99</v>
      </c>
      <c r="B11" s="21" t="n">
        <f aca="false">SQRT(B7*(1-B7)/B3+B8*(1-B8)/B3)</f>
        <v>0.0329550760435633</v>
      </c>
    </row>
    <row r="12" customFormat="false" ht="15" hidden="false" customHeight="true" outlineLevel="0" collapsed="false">
      <c r="A12" s="19" t="s">
        <v>100</v>
      </c>
      <c r="B12" s="21" t="n">
        <f aca="false">B9-1.96*B11</f>
        <v>-0.0479252823787173</v>
      </c>
    </row>
    <row r="13" customFormat="false" ht="15" hidden="false" customHeight="true" outlineLevel="0" collapsed="false">
      <c r="A13" s="19" t="s">
        <v>101</v>
      </c>
      <c r="B13" s="21" t="n">
        <f aca="false">B9+1.96*B11</f>
        <v>0.0812586157120507</v>
      </c>
    </row>
    <row r="14" customFormat="false" ht="15" hidden="false" customHeight="true" outlineLevel="0" collapsed="false">
      <c r="A14" s="19" t="s">
        <v>102</v>
      </c>
      <c r="B14" s="19" t="str">
        <f aca="false">IF(AND(B12&lt;0,B13&gt;0),"no","yes")</f>
        <v>no</v>
      </c>
    </row>
    <row r="15" customFormat="false" ht="15" hidden="false" customHeight="true" outlineLevel="0" collapsed="false">
      <c r="A15" s="19" t="s">
        <v>103</v>
      </c>
      <c r="B15" s="21" t="n">
        <f aca="false">1.96*B11</f>
        <v>0.064591949045384</v>
      </c>
    </row>
    <row r="16" customFormat="false" ht="15" hidden="false" customHeight="true" outlineLevel="0" collapsed="false">
      <c r="A16" s="19" t="s">
        <v>104</v>
      </c>
      <c r="B16" s="21" t="n">
        <f aca="false">(1.96+0.84)*B11</f>
        <v>0.0922742129219771</v>
      </c>
    </row>
    <row r="18" customFormat="false" ht="15" hidden="false" customHeight="true" outlineLevel="0" collapsed="false">
      <c r="A18" s="11" t="s">
        <v>105</v>
      </c>
      <c r="B18" s="27" t="n">
        <v>6.2</v>
      </c>
    </row>
    <row r="19" customFormat="false" ht="15" hidden="false" customHeight="true" outlineLevel="0" collapsed="false">
      <c r="A19" s="11" t="s">
        <v>106</v>
      </c>
      <c r="B19" s="16" t="n">
        <v>0.003</v>
      </c>
    </row>
    <row r="20" customFormat="false" ht="15" hidden="false" customHeight="true" outlineLevel="0" collapsed="false">
      <c r="A20" s="11" t="s">
        <v>107</v>
      </c>
      <c r="B20" s="16" t="n">
        <v>0.18</v>
      </c>
    </row>
    <row r="21" customFormat="false" ht="15" hidden="false" customHeight="true" outlineLevel="0" collapsed="false">
      <c r="A21" s="11" t="s">
        <v>108</v>
      </c>
      <c r="B21" s="23" t="n">
        <v>7.96</v>
      </c>
    </row>
    <row r="22" customFormat="false" ht="15" hidden="false" customHeight="true" outlineLevel="0" collapsed="false">
      <c r="A22" s="11" t="s">
        <v>109</v>
      </c>
      <c r="B22" s="23" t="n">
        <v>4.58</v>
      </c>
    </row>
    <row r="24" customFormat="false" ht="15" hidden="false" customHeight="true" outlineLevel="0" collapsed="false">
      <c r="A24" s="19" t="s">
        <v>110</v>
      </c>
      <c r="B24" s="31" t="n">
        <f aca="false">B18+B19</f>
        <v>6.203</v>
      </c>
    </row>
    <row r="25" customFormat="false" ht="15" hidden="false" customHeight="true" outlineLevel="0" collapsed="false">
      <c r="A25" s="19" t="s">
        <v>111</v>
      </c>
      <c r="B25" s="22" t="n">
        <f aca="false">B18+B20</f>
        <v>6.38</v>
      </c>
    </row>
    <row r="26" customFormat="false" ht="15" hidden="false" customHeight="true" outlineLevel="0" collapsed="false">
      <c r="A26" s="19" t="s">
        <v>112</v>
      </c>
      <c r="B26" s="21" t="n">
        <f aca="false">B20/B18</f>
        <v>0.0290322580645161</v>
      </c>
    </row>
    <row r="27" customFormat="false" ht="15" hidden="false" customHeight="true" outlineLevel="0" collapsed="false">
      <c r="A27" s="19" t="s">
        <v>113</v>
      </c>
      <c r="B27" s="32" t="n">
        <f aca="false">1-B22/B21</f>
        <v>0.424623115577889</v>
      </c>
    </row>
    <row r="28" customFormat="false" ht="15" hidden="false" customHeight="true" outlineLevel="0" collapsed="false">
      <c r="A28" s="19" t="s">
        <v>114</v>
      </c>
      <c r="B28" s="28" t="n">
        <f aca="false">B21/B22</f>
        <v>1.73799126637555</v>
      </c>
    </row>
    <row r="30" customFormat="false" ht="15" hidden="false" customHeight="true" outlineLevel="0" collapsed="false">
      <c r="A30" s="25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2026-10-02T15:22:38Z</dcterms:created>
  <dc:creator>Leonhard Korowajczuk</dc:creator>
  <dc:description/>
  <dc:language>en-US</dc:language>
  <cp:lastModifiedBy>Leonhard Korowajczuk</cp:lastModifiedBy>
  <dcterms:modified xsi:type="dcterms:W3CDTF">2026-10-20T17:46:35Z</dcterms:modified>
  <cp:revision>0</cp:revision>
  <dc:subject/>
  <dc:title>Quantization and Compression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