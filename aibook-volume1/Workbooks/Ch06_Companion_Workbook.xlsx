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 to Parameters" sheetId="2" state="visible" r:id="rId4"/>
    <sheet name="RMSNorm and SwiGLU" sheetId="3" state="visible" r:id="rId5"/>
    <sheet name="KV Designs" sheetId="4" state="visible" r:id="rId6"/>
    <sheet name="RoPE Wavelengths" sheetId="5" state="visible" r:id="rId7"/>
    <sheet name="Online Softmax" sheetId="6" state="visible" r:id="rId8"/>
    <sheet name="Box Budget" sheetId="7" state="visible" r:id="rId9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<sst xmlns="http://schemas.openxmlformats.org/spreadsheetml/2006/main" count="208" uniqueCount="198">
  <si>
    <t xml:space="preserve">Chapter 6 — Anatomy of a Modern Decoder-Only LLM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</si>
  <si>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</si>
  <si>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</si>
  <si>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</si>
  <si>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</si>
  <si>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Config to Parameters</t>
  </si>
  <si>
    <t xml:space="preserve">Parameters, memory, FLOPs, attention term and KV cache of a dense decoder from config.json.</t>
  </si>
  <si>
    <t xml:space="preserve">Worked Example 6.1</t>
  </si>
  <si>
    <t xml:space="preserve">RMSNorm and SwiGLU</t>
  </si>
  <si>
    <t xml:space="preserve">The computation of Worked Example 6.2 with editable inputs and weights.</t>
  </si>
  <si>
    <t xml:space="preserve">Worked Example 6.2</t>
  </si>
  <si>
    <t xml:space="preserve">KV Designs</t>
  </si>
  <si>
    <t xml:space="preserve">KV cache of MHA, GQA, sliding-window and latent (MLA) designs at any context.</t>
  </si>
  <si>
    <t xml:space="preserve">Worked Example 6.3, Figure 6.4</t>
  </si>
  <si>
    <t xml:space="preserve">RoPE Wavelengths</t>
  </si>
  <si>
    <t xml:space="preserve">Per-pair angles and wavelengths for any base, with the Llama 3.1 scaling rule.</t>
  </si>
  <si>
    <t xml:space="preserve">Worked Example 6.4</t>
  </si>
  <si>
    <t xml:space="preserve">Online Softmax</t>
  </si>
  <si>
    <t xml:space="preserve">Blockwise softmax for any block size, with running maximum and sum, checked against the direct result.</t>
  </si>
  <si>
    <t xml:space="preserve">Worked Example 6.5</t>
  </si>
  <si>
    <t xml:space="preserve">Box Budget</t>
  </si>
  <si>
    <t xml:space="preserve">Weights + KV cache + runtime for a given GPU memory, with BF16 and 8-bit-cache variants.</t>
  </si>
  <si>
    <t xml:space="preserve">Worked Example 6.6</t>
  </si>
  <si>
    <t xml:space="preserve">Notes</t>
  </si>
  <si>
    <t xml:space="preserve">Units are decimal: 1 GB = 10^9 bytes. Notation follows Table P.2 (d, L, h, h_kv, d_k, d_ff, n_vocab).</t>
  </si>
  <si>
    <t xml:space="preserve">Dense Decoder from config.json (defaults: Qwen3-8B)</t>
  </si>
  <si>
    <t xml:space="preserve">hidden_size d</t>
  </si>
  <si>
    <t xml:space="preserve">num_hidden_layers L</t>
  </si>
  <si>
    <t xml:space="preserve">num_attention_heads h</t>
  </si>
  <si>
    <t xml:space="preserve">num_key_value_heads h_kv</t>
  </si>
  <si>
    <t xml:space="preserve">head_dim d_k</t>
  </si>
  <si>
    <t xml:space="preserve">intermediate_size d_ff</t>
  </si>
  <si>
    <t xml:space="preserve">vocab_size n_vocab</t>
  </si>
  <si>
    <t xml:space="preserve">tie_word_embeddings (1 yes, 0 no)</t>
  </si>
  <si>
    <t xml:space="preserve">QK-norm (1 yes, 0 no)</t>
  </si>
  <si>
    <t xml:space="preserve">Bytes per KV value</t>
  </si>
  <si>
    <t xml:space="preserve">Context position A for the attention term (tokens)</t>
  </si>
  <si>
    <t xml:space="preserve">Context position B for the attention term (tokens)</t>
  </si>
  <si>
    <t xml:space="preserve">Quantity</t>
  </si>
  <si>
    <t xml:space="preserve">Value</t>
  </si>
  <si>
    <t xml:space="preserve">q_proj = d × h·d_k</t>
  </si>
  <si>
    <t xml:space="preserve">k_proj + v_proj = 2 × d × h_kv·d_k</t>
  </si>
  <si>
    <t xml:space="preserve">o_proj = h·d_k × d</t>
  </si>
  <si>
    <t xml:space="preserve">QK-norm gains = 2 d_k</t>
  </si>
  <si>
    <t xml:space="preserve">Feed-forward = 3 d d_ff</t>
  </si>
  <si>
    <t xml:space="preserve">Block norms = 2d</t>
  </si>
  <si>
    <t xml:space="preserve">One block</t>
  </si>
  <si>
    <t xml:space="preserve">All blocks (non-embedding)</t>
  </si>
  <si>
    <t xml:space="preserve">Input embedding</t>
  </si>
  <si>
    <t xml:space="preserve">Output projection</t>
  </si>
  <si>
    <t xml:space="preserve">Final norm</t>
  </si>
  <si>
    <t xml:space="preserve">Total parameters</t>
  </si>
  <si>
    <t xml:space="preserve">Weights BF16 (GB)</t>
  </si>
  <si>
    <t xml:space="preserve">FLOPs per token (GFLOPs) = 2 × (total − input embedding)</t>
  </si>
  <si>
    <t xml:space="preserve">KV cache per token (bytes) = 2·L·h_kv·d_k·bytes</t>
  </si>
  <si>
    <t xml:space="preserve">Feed-forward share of parameters</t>
  </si>
  <si>
    <t xml:space="preserve">Embedding share (input table + output projection)</t>
  </si>
  <si>
    <t xml:space="preserve">KV cache per token (MB)</t>
  </si>
  <si>
    <t xml:space="preserve">Attention FLOPs per token of context = 4·(h·d_k)·L</t>
  </si>
  <si>
    <t xml:space="preserve">Attention FLOPs at position A (GFLOPs)</t>
  </si>
  <si>
    <t xml:space="preserve">Attention FLOPs at position B (GFLOPs)</t>
  </si>
  <si>
    <t xml:space="preserve">Attention per block: q, k, v and o projections</t>
  </si>
  <si>
    <t xml:space="preserve">Normalization gains per block (two RMSNorms + QK-norm)</t>
  </si>
  <si>
    <t xml:space="preserve">Input table + output projection</t>
  </si>
  <si>
    <t xml:space="preserve">Defaults reproduce Qwen3-8B (Listing 6.1): 8,190,735,360 parameters, the checkpoint's 16,381,470,720 bytes in BF16.</t>
  </si>
  <si>
    <t xml:space="preserve">Attention adds 4·n·(h·d_k)·L FLOPs per token at context position n (Section 4.7); h·d_k = d for Qwen3-8B.</t>
  </si>
  <si>
    <t xml:space="preserve">RMSNorm and a SwiGLU Feed-Forward Layer by Hand (Worked Example 6.2)</t>
  </si>
  <si>
    <t xml:space="preserve">dim 1</t>
  </si>
  <si>
    <t xml:space="preserve">dim 2</t>
  </si>
  <si>
    <t xml:space="preserve">dim 3</t>
  </si>
  <si>
    <t xml:space="preserve">dim 4</t>
  </si>
  <si>
    <t xml:space="preserve">x (residual stream)</t>
  </si>
  <si>
    <t xml:space="preserve">gain g</t>
  </si>
  <si>
    <t xml:space="preserve">epsilon</t>
  </si>
  <si>
    <t xml:space="preserve">mean(x²)</t>
  </si>
  <si>
    <t xml:space="preserve">RMS = √(mean(x²) + ε)</t>
  </si>
  <si>
    <t xml:space="preserve">x̂ = x ÷ RMS × g</t>
  </si>
  <si>
    <t xml:space="preserve">RMS of x̂</t>
  </si>
  <si>
    <t xml:space="preserve">Weight row</t>
  </si>
  <si>
    <t xml:space="preserve">x̂ · row</t>
  </si>
  <si>
    <t xml:space="preserve">SiLU / product</t>
  </si>
  <si>
    <t xml:space="preserve">σ(gate)</t>
  </si>
  <si>
    <t xml:space="preserve">W_gate row 1</t>
  </si>
  <si>
    <t xml:space="preserve">W_gate row 2</t>
  </si>
  <si>
    <t xml:space="preserve">W_up row 1</t>
  </si>
  <si>
    <t xml:space="preserve">W_up row 2</t>
  </si>
  <si>
    <t xml:space="preserve">hidden h = SiLU(gate) ⊙ up</t>
  </si>
  <si>
    <t xml:space="preserve">W_down row</t>
  </si>
  <si>
    <t xml:space="preserve">h1 weight</t>
  </si>
  <si>
    <t xml:space="preserve">h2 weight</t>
  </si>
  <si>
    <t xml:space="preserve">output</t>
  </si>
  <si>
    <t xml:space="preserve">x + output</t>
  </si>
  <si>
    <t xml:space="preserve">output dim 1</t>
  </si>
  <si>
    <t xml:space="preserve">output dim 2</t>
  </si>
  <si>
    <t xml:space="preserve">output dim 3</t>
  </si>
  <si>
    <t xml:space="preserve">output dim 4</t>
  </si>
  <si>
    <t xml:space="preserve">Defaults reproduce Worked Example 6.2: gate (2.673, −0.535), σ (0.935, 0.369), hidden (3.341, 0.317), x + output (5.341, −0.683, 1.829, 3).</t>
  </si>
  <si>
    <t xml:space="preserve">ε = 10⁻⁶ (rms_norm_eps of Qwen3-8B) changes nothing at three decimals.</t>
  </si>
  <si>
    <t xml:space="preserve">KV Cache per Sequence for Different Attention Designs (Worked Example 6.3)</t>
  </si>
  <si>
    <t xml:space="preserve">Context length (tokens)</t>
  </si>
  <si>
    <t xml:space="preserve">Bytes per value</t>
  </si>
  <si>
    <t xml:space="preserve">Model</t>
  </si>
  <si>
    <t xml:space="preserve">Global layers</t>
  </si>
  <si>
    <t xml:space="preserve">Window layers</t>
  </si>
  <si>
    <t xml:space="preserve">Window (tokens)</t>
  </si>
  <si>
    <t xml:space="preserve">KV heads (0 = latent)</t>
  </si>
  <si>
    <t xml:space="preserve">Head dim</t>
  </si>
  <si>
    <t xml:space="preserve">Latent + RoPE dims</t>
  </si>
  <si>
    <t xml:space="preserve">Bytes per token per layer</t>
  </si>
  <si>
    <t xml:space="preserve">Cache (GB)</t>
  </si>
  <si>
    <t xml:space="preserve">If all layers global (GB)</t>
  </si>
  <si>
    <t xml:space="preserve">Bytes per token, global layers</t>
  </si>
  <si>
    <t xml:space="preserve">Global layers (GB)</t>
  </si>
  <si>
    <t xml:space="preserve">Windowed layers (MB)</t>
  </si>
  <si>
    <t xml:space="preserve">Share of all-global cache</t>
  </si>
  <si>
    <t xml:space="preserve">Llama 2 7B (MHA)</t>
  </si>
  <si>
    <t xml:space="preserve">Qwen3-8B (GQA)</t>
  </si>
  <si>
    <t xml:space="preserve">Gemma 3 27B (5:1 sliding)</t>
  </si>
  <si>
    <t xml:space="preserve">gpt-oss-120b (1:1 sliding)</t>
  </si>
  <si>
    <t xml:space="preserve">DeepSeek-V3 (MLA)</t>
  </si>
  <si>
    <t xml:space="preserve">DeepSeek-V3 if MHA (128 heads, 192+128)</t>
  </si>
  <si>
    <t xml:space="preserve">DeepSeek-V3: MHA cache ÷ MLA cache</t>
  </si>
  <si>
    <t xml:space="preserve">MLA caches a latent vector (512) plus a shared RoPE key (64) per layer. The last row expresses 128 heads × (192 + 128) as 40,960 numbers per layer.</t>
  </si>
  <si>
    <t xml:space="preserve">Windowed layers keep at most the window; column N gives the saving of Section 6.6.2 (one-sixth for Gemma 3 27B at 131,072 tokens).</t>
  </si>
  <si>
    <t xml:space="preserve">RoPE: Angle per Token and Wavelength for Each Dimension Pair (Worked Example 6.4)</t>
  </si>
  <si>
    <t xml:space="preserve">Base (rope_theta)</t>
  </si>
  <si>
    <t xml:space="preserve">Slowest pair at a comparison base</t>
  </si>
  <si>
    <t xml:space="preserve">Head dimension d_k</t>
  </si>
  <si>
    <t xml:space="preserve">Comparison base (Llama 2)</t>
  </si>
  <si>
    <t xml:space="preserve">Scaling factor</t>
  </si>
  <si>
    <t xml:space="preserve">Training length (tokens)</t>
  </si>
  <si>
    <t xml:space="preserve">Original context</t>
  </si>
  <si>
    <t xml:space="preserve">Position beyond training (tokens)</t>
  </si>
  <si>
    <t xml:space="preserve">Low-frequency factor</t>
  </si>
  <si>
    <t xml:space="preserve">θ of the slowest pair (rad/token)</t>
  </si>
  <si>
    <t xml:space="preserve">High-frequency factor</t>
  </si>
  <si>
    <t xml:space="preserve">Wavelength of the slowest pair (tokens)</t>
  </si>
  <si>
    <t xml:space="preserve">Position to inspect</t>
  </si>
  <si>
    <t xml:space="preserve">Angle after the training length (rad)</t>
  </si>
  <si>
    <t xml:space="preserve">Angle at the position beyond training (rad)</t>
  </si>
  <si>
    <t xml:space="preserve">Pair i</t>
  </si>
  <si>
    <t xml:space="preserve">θ (rad/token)</t>
  </si>
  <si>
    <t xml:space="preserve">Wavelength (tokens)</t>
  </si>
  <si>
    <t xml:space="preserve">Status under scaling</t>
  </si>
  <si>
    <t xml:space="preserve">Scaled θ</t>
  </si>
  <si>
    <t xml:space="preserve">Scaled wavelength</t>
  </si>
  <si>
    <t xml:space="preserve">Angle at inspected position (rad, scaled)</t>
  </si>
  <si>
    <t xml:space="preserve">Angle at inspected position (rad, unscaled)</t>
  </si>
  <si>
    <t xml:space="preserve">Scaling rule at the base in B3</t>
  </si>
  <si>
    <t xml:space="preserve">Kept below this wavelength (tokens)</t>
  </si>
  <si>
    <t xml:space="preserve">Slowed above this wavelength (tokens)</t>
  </si>
  <si>
    <t xml:space="preserve">Pairs kept</t>
  </si>
  <si>
    <t xml:space="preserve">Pairs blended</t>
  </si>
  <si>
    <t xml:space="preserve">Pairs slowed</t>
  </si>
  <si>
    <t xml:space="preserve">Last kept pair i</t>
  </si>
  <si>
    <t xml:space="preserve">First slowed pair i</t>
  </si>
  <si>
    <t xml:space="preserve">Defaults: base 500,000 (Llama 3) with the Llama 3.1 rule (factor 8, original context 8,192, frequency factors 1 and 4).</t>
  </si>
  <si>
    <t xml:space="preserve">Column G applies the scaling, column H does not; the block at the right repeats the slowest pair at base 10,000 (Llama 2).</t>
  </si>
  <si>
    <t xml:space="preserve">Online (Blockwise) Softmax as in FlashAttention (Worked Example 6.5)</t>
  </si>
  <si>
    <t xml:space="preserve">Block size</t>
  </si>
  <si>
    <t xml:space="preserve">Position</t>
  </si>
  <si>
    <t xml:space="preserve">Score s</t>
  </si>
  <si>
    <t xml:space="preserve">Value v</t>
  </si>
  <si>
    <t xml:space="preserve">Block</t>
  </si>
  <si>
    <t xml:space="preserve">Running max m (block level)</t>
  </si>
  <si>
    <t xml:space="preserve">Rescale exp(m_old − m_new)</t>
  </si>
  <si>
    <t xml:space="preserve">Running sum ℓ</t>
  </si>
  <si>
    <t xml:space="preserve">Running output o (unnormalized)</t>
  </si>
  <si>
    <t xml:space="preserve">Online result = output ÷ sum</t>
  </si>
  <si>
    <t xml:space="preserve">Direct softmax result</t>
  </si>
  <si>
    <t xml:space="preserve">First four positions only (Worked Example 6.5)</t>
  </si>
  <si>
    <t xml:space="preserve">Reference for Worked Example 6.5: direct softmax of positions 1–4</t>
  </si>
  <si>
    <t xml:space="preserve">exp(s − max)</t>
  </si>
  <si>
    <t xml:space="preserve">Weight</t>
  </si>
  <si>
    <t xml:space="preserve">Weight × v</t>
  </si>
  <si>
    <t xml:space="preserve">Sum</t>
  </si>
  <si>
    <t xml:space="preserve">Each block is scored at once: m changes once per block, and the sum and output carried from earlier blocks are rescaled by exp(m_old − m_new).</t>
  </si>
  <si>
    <t xml:space="preserve">Rows inside a block are accumulated one at a time for display; with block size 2, rows 7 and 9 reproduce Worked Example 6.5.</t>
  </si>
  <si>
    <t xml:space="preserve">Does It Fit? Weights + KV Cache + Runtime (Worked Example 6.6)</t>
  </si>
  <si>
    <t xml:space="preserve">Total parameters (billions)</t>
  </si>
  <si>
    <t xml:space="preserve">Bits per weight</t>
  </si>
  <si>
    <t xml:space="preserve">KV bytes per token</t>
  </si>
  <si>
    <t xml:space="preserve">KV bytes per value (2 = BF16, 1 = 8-bit)</t>
  </si>
  <si>
    <t xml:space="preserve">Context per sequence (tokens)</t>
  </si>
  <si>
    <t xml:space="preserve">Runtime allowance (GB)</t>
  </si>
  <si>
    <t xml:space="preserve">GPU memory (GB; 24 GiB card counted as 24)</t>
  </si>
  <si>
    <t xml:space="preserve">Weights (GB)</t>
  </si>
  <si>
    <t xml:space="preserve">KV cache per sequence (GB)</t>
  </si>
  <si>
    <t xml:space="preserve">Memory for one sequence (GB)</t>
  </si>
  <si>
    <t xml:space="preserve">Fits one sequence?</t>
  </si>
  <si>
    <t xml:space="preserve">Sequences that fit</t>
  </si>
  <si>
    <t xml:space="preserve">Memory left after one sequence (GB)</t>
  </si>
  <si>
    <t xml:space="preserve">Sequences that fit if the cache is stored in 8 bits</t>
  </si>
  <si>
    <t xml:space="preserve">BF16 weights, 2 bytes per parameter (GB)</t>
  </si>
  <si>
    <t xml:space="preserve">Memory for one sequence with BF16 weights (GB)</t>
  </si>
  <si>
    <t xml:space="preserve">Fits one sequence with BF16 weights?</t>
  </si>
  <si>
    <t xml:space="preserve">Set bits per weight to 16 for BF16, or 4.9 for the Box's default Q4_K_M file (5.0 GB; same counts). Enter KV bytes per token for BF16.</t>
  </si>
  <si>
    <t xml:space="preserve">Runtime: about 1.5 GB for a single-user runtime such as llama.cpp; 4 GB for a multi-user server (Worked Example 13.2).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</si>
</sst>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#,##0.00"/>
    <numFmt numFmtId="167" formatCode="0.0%"/>
    <numFmt numFmtId="168" formatCode="#,##0.0"/>
    <numFmt numFmtId="169" formatCode="0.000"/>
    <numFmt numFmtId="170" formatCode="0.0E+00"/>
    <numFmt numFmtId="171" formatCode="0.00"/>
    <numFmt numFmtId="172" formatCode="0"/>
    <numFmt numFmtId="173" formatCode="0.0"/>
    <numFmt numFmtId="174" formatCode="0.000E+00"/>
    <numFmt numFmtId="175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15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30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30" hidden="false" customHeight="true" outlineLevel="0" collapsed="false">
      <c r="A10" s="6" t="s">
        <v>20</v>
      </c>
      <c r="B10" s="7" t="s">
        <v>21</v>
      </c>
      <c r="C10" s="7" t="s">
        <v>22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8" t="s">
        <v>23</v>
      </c>
    </row>
    <row r="13" customFormat="false" ht="15" hidden="false" customHeight="true" outlineLevel="0" collapsed="false">
      <c r="A13" s="9" t="s">
        <v>24</v>
      </c>
      <c r="B13" s="9"/>
      <c r="C13" s="9"/>
    </row>
    <row r="14" customFormat="false" ht="15" hidden="false" customHeight="true" outlineLevel="0" collapsed="false">
      <c r="A14" s="4"/>
    </row>
  </sheetData>
  <mergeCells count="2">
    <mergeCell ref="A2:C2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0"/>
  </cols>
  <sheetData>
    <row r="1" customFormat="false" ht="15.75" hidden="false" customHeight="true" outlineLevel="0" collapsed="false">
      <c r="A1" s="10" t="s">
        <v>25</v>
      </c>
    </row>
    <row r="3" customFormat="false" ht="15" hidden="false" customHeight="true" outlineLevel="0" collapsed="false">
      <c r="A3" s="11" t="s">
        <v>26</v>
      </c>
      <c r="B3" s="12" t="n">
        <v>4096</v>
      </c>
    </row>
    <row r="4" customFormat="false" ht="15" hidden="false" customHeight="true" outlineLevel="0" collapsed="false">
      <c r="A4" s="11" t="s">
        <v>27</v>
      </c>
      <c r="B4" s="12" t="n">
        <v>36</v>
      </c>
    </row>
    <row r="5" customFormat="false" ht="15" hidden="false" customHeight="true" outlineLevel="0" collapsed="false">
      <c r="A5" s="11" t="s">
        <v>28</v>
      </c>
      <c r="B5" s="12" t="n">
        <v>32</v>
      </c>
    </row>
    <row r="6" customFormat="false" ht="15" hidden="false" customHeight="true" outlineLevel="0" collapsed="false">
      <c r="A6" s="11" t="s">
        <v>29</v>
      </c>
      <c r="B6" s="12" t="n">
        <v>8</v>
      </c>
    </row>
    <row r="7" customFormat="false" ht="15" hidden="false" customHeight="true" outlineLevel="0" collapsed="false">
      <c r="A7" s="11" t="s">
        <v>30</v>
      </c>
      <c r="B7" s="12" t="n">
        <v>128</v>
      </c>
    </row>
    <row r="8" customFormat="false" ht="15" hidden="false" customHeight="true" outlineLevel="0" collapsed="false">
      <c r="A8" s="11" t="s">
        <v>31</v>
      </c>
      <c r="B8" s="12" t="n">
        <v>12288</v>
      </c>
    </row>
    <row r="9" customFormat="false" ht="15" hidden="false" customHeight="true" outlineLevel="0" collapsed="false">
      <c r="A9" s="11" t="s">
        <v>32</v>
      </c>
      <c r="B9" s="12" t="n">
        <v>151936</v>
      </c>
    </row>
    <row r="10" customFormat="false" ht="15" hidden="false" customHeight="true" outlineLevel="0" collapsed="false">
      <c r="A10" s="11" t="s">
        <v>33</v>
      </c>
      <c r="B10" s="12" t="n">
        <v>0</v>
      </c>
    </row>
    <row r="11" customFormat="false" ht="15" hidden="false" customHeight="true" outlineLevel="0" collapsed="false">
      <c r="A11" s="11" t="s">
        <v>34</v>
      </c>
      <c r="B11" s="12" t="n">
        <v>1</v>
      </c>
    </row>
    <row r="12" customFormat="false" ht="15" hidden="false" customHeight="true" outlineLevel="0" collapsed="false">
      <c r="A12" s="11" t="s">
        <v>35</v>
      </c>
      <c r="B12" s="12" t="n">
        <v>2</v>
      </c>
    </row>
    <row r="13" customFormat="false" ht="15" hidden="false" customHeight="true" outlineLevel="0" collapsed="false">
      <c r="A13" s="11" t="s">
        <v>36</v>
      </c>
      <c r="B13" s="12" t="n">
        <v>4096</v>
      </c>
    </row>
    <row r="14" customFormat="false" ht="15" hidden="false" customHeight="true" outlineLevel="0" collapsed="false">
      <c r="A14" s="11" t="s">
        <v>37</v>
      </c>
      <c r="B14" s="12" t="n">
        <v>32768</v>
      </c>
    </row>
    <row r="16" customFormat="false" ht="15" hidden="false" customHeight="true" outlineLevel="0" collapsed="false">
      <c r="A16" s="13" t="s">
        <v>38</v>
      </c>
      <c r="B16" s="13" t="s">
        <v>39</v>
      </c>
    </row>
    <row r="17" customFormat="false" ht="15" hidden="false" customHeight="true" outlineLevel="0" collapsed="false">
      <c r="A17" s="11" t="s">
        <v>40</v>
      </c>
      <c r="B17" s="14" t="n">
        <f aca="false">B3*B5*B7</f>
        <v>16777216</v>
      </c>
    </row>
    <row r="18" customFormat="false" ht="15" hidden="false" customHeight="true" outlineLevel="0" collapsed="false">
      <c r="A18" s="11" t="s">
        <v>41</v>
      </c>
      <c r="B18" s="14" t="n">
        <f aca="false">2*B3*B6*B7</f>
        <v>8388608</v>
      </c>
    </row>
    <row r="19" customFormat="false" ht="15" hidden="false" customHeight="true" outlineLevel="0" collapsed="false">
      <c r="A19" s="11" t="s">
        <v>42</v>
      </c>
      <c r="B19" s="14" t="n">
        <f aca="false">B5*B7*B3</f>
        <v>16777216</v>
      </c>
    </row>
    <row r="20" customFormat="false" ht="15" hidden="false" customHeight="true" outlineLevel="0" collapsed="false">
      <c r="A20" s="11" t="s">
        <v>43</v>
      </c>
      <c r="B20" s="14" t="n">
        <f aca="false">2*B7*B11</f>
        <v>256</v>
      </c>
    </row>
    <row r="21" customFormat="false" ht="15" hidden="false" customHeight="true" outlineLevel="0" collapsed="false">
      <c r="A21" s="11" t="s">
        <v>44</v>
      </c>
      <c r="B21" s="14" t="n">
        <f aca="false">3*B3*B8</f>
        <v>150994944</v>
      </c>
    </row>
    <row r="22" customFormat="false" ht="15" hidden="false" customHeight="true" outlineLevel="0" collapsed="false">
      <c r="A22" s="11" t="s">
        <v>45</v>
      </c>
      <c r="B22" s="14" t="n">
        <f aca="false">2*B3</f>
        <v>8192</v>
      </c>
    </row>
    <row r="23" customFormat="false" ht="15" hidden="false" customHeight="true" outlineLevel="0" collapsed="false">
      <c r="A23" s="15" t="s">
        <v>46</v>
      </c>
      <c r="B23" s="16" t="n">
        <f aca="false">SUM(B17:B22)</f>
        <v>192946432</v>
      </c>
    </row>
    <row r="24" customFormat="false" ht="15" hidden="false" customHeight="true" outlineLevel="0" collapsed="false">
      <c r="A24" s="11" t="s">
        <v>47</v>
      </c>
      <c r="B24" s="14" t="n">
        <f aca="false">B4*B23</f>
        <v>6946071552</v>
      </c>
    </row>
    <row r="25" customFormat="false" ht="15" hidden="false" customHeight="true" outlineLevel="0" collapsed="false">
      <c r="A25" s="11" t="s">
        <v>48</v>
      </c>
      <c r="B25" s="14" t="n">
        <f aca="false">B9*B3</f>
        <v>622329856</v>
      </c>
    </row>
    <row r="26" customFormat="false" ht="15" hidden="false" customHeight="true" outlineLevel="0" collapsed="false">
      <c r="A26" s="11" t="s">
        <v>49</v>
      </c>
      <c r="B26" s="14" t="n">
        <f aca="false">B9*B3*(1-B10)</f>
        <v>622329856</v>
      </c>
    </row>
    <row r="27" customFormat="false" ht="15" hidden="false" customHeight="true" outlineLevel="0" collapsed="false">
      <c r="A27" s="11" t="s">
        <v>50</v>
      </c>
      <c r="B27" s="14" t="n">
        <f aca="false">B3</f>
        <v>4096</v>
      </c>
    </row>
    <row r="28" customFormat="false" ht="15" hidden="false" customHeight="true" outlineLevel="0" collapsed="false">
      <c r="A28" s="15" t="s">
        <v>51</v>
      </c>
      <c r="B28" s="16" t="n">
        <f aca="false">B24+B25+B26+B27</f>
        <v>8190735360</v>
      </c>
    </row>
    <row r="29" customFormat="false" ht="15" hidden="false" customHeight="true" outlineLevel="0" collapsed="false">
      <c r="A29" s="11" t="s">
        <v>52</v>
      </c>
      <c r="B29" s="17" t="n">
        <f aca="false">B28*2/1000000000</f>
        <v>16.38147072</v>
      </c>
    </row>
    <row r="30" customFormat="false" ht="15" hidden="false" customHeight="true" outlineLevel="0" collapsed="false">
      <c r="A30" s="15" t="s">
        <v>53</v>
      </c>
      <c r="B30" s="18" t="n">
        <f aca="false">2*(B28-B25)/1000000000</f>
        <v>15.136811008</v>
      </c>
    </row>
    <row r="31" customFormat="false" ht="15" hidden="false" customHeight="true" outlineLevel="0" collapsed="false">
      <c r="A31" s="15" t="s">
        <v>54</v>
      </c>
      <c r="B31" s="16" t="n">
        <f aca="false">2*B4*B6*B7*B12</f>
        <v>147456</v>
      </c>
    </row>
    <row r="32" customFormat="false" ht="15" hidden="false" customHeight="true" outlineLevel="0" collapsed="false">
      <c r="A32" s="11" t="s">
        <v>55</v>
      </c>
      <c r="B32" s="19" t="n">
        <f aca="false">B4*B21/B28</f>
        <v>0.663654451655974</v>
      </c>
    </row>
    <row r="33" customFormat="false" ht="15" hidden="false" customHeight="true" outlineLevel="0" collapsed="false">
      <c r="A33" s="11" t="s">
        <v>56</v>
      </c>
      <c r="B33" s="19" t="n">
        <f aca="false">(B25+B26)/B28</f>
        <v>0.151959458741443</v>
      </c>
    </row>
    <row r="34" customFormat="false" ht="15" hidden="false" customHeight="true" outlineLevel="0" collapsed="false">
      <c r="A34" s="11" t="s">
        <v>57</v>
      </c>
      <c r="B34" s="17" t="n">
        <f aca="false">B31/1000000</f>
        <v>0.147456</v>
      </c>
    </row>
    <row r="35" customFormat="false" ht="15" hidden="false" customHeight="true" outlineLevel="0" collapsed="false">
      <c r="A35" s="11" t="s">
        <v>58</v>
      </c>
      <c r="B35" s="14" t="n">
        <f aca="false">4*B5*B7*B4</f>
        <v>589824</v>
      </c>
    </row>
    <row r="36" customFormat="false" ht="15" hidden="false" customHeight="true" outlineLevel="0" collapsed="false">
      <c r="A36" s="11" t="s">
        <v>59</v>
      </c>
      <c r="B36" s="20" t="n">
        <f aca="false">B35*B13/1000000000</f>
        <v>2.415919104</v>
      </c>
    </row>
    <row r="37" customFormat="false" ht="15" hidden="false" customHeight="true" outlineLevel="0" collapsed="false">
      <c r="A37" s="11" t="s">
        <v>60</v>
      </c>
      <c r="B37" s="20" t="n">
        <f aca="false">B35*B14/1000000000</f>
        <v>19.327352832</v>
      </c>
    </row>
    <row r="38" customFormat="false" ht="15" hidden="false" customHeight="true" outlineLevel="0" collapsed="false">
      <c r="A38" s="11" t="s">
        <v>61</v>
      </c>
      <c r="B38" s="14" t="n">
        <f aca="false">B17+B18+B19</f>
        <v>41943040</v>
      </c>
    </row>
    <row r="39" customFormat="false" ht="15" hidden="false" customHeight="true" outlineLevel="0" collapsed="false">
      <c r="A39" s="11" t="s">
        <v>62</v>
      </c>
      <c r="B39" s="14" t="n">
        <f aca="false">B20+B22</f>
        <v>8448</v>
      </c>
    </row>
    <row r="40" customFormat="false" ht="15" hidden="false" customHeight="true" outlineLevel="0" collapsed="false">
      <c r="A40" s="11" t="s">
        <v>63</v>
      </c>
      <c r="B40" s="14" t="n">
        <f aca="false">B25+B26</f>
        <v>1244659712</v>
      </c>
    </row>
    <row r="42" customFormat="false" ht="15" hidden="false" customHeight="true" outlineLevel="0" collapsed="false">
      <c r="A42" s="21" t="s">
        <v>64</v>
      </c>
    </row>
    <row r="43" customFormat="false" ht="15" hidden="false" customHeight="true" outlineLevel="0" collapsed="false">
      <c r="A43" s="2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3"/>
    <col collapsed="false" customWidth="true" hidden="false" outlineLevel="0" max="8" min="8" style="1" width="11"/>
  </cols>
  <sheetData>
    <row r="1" customFormat="false" ht="15.75" hidden="false" customHeight="true" outlineLevel="0" collapsed="false">
      <c r="A1" s="10" t="s">
        <v>66</v>
      </c>
    </row>
    <row r="3" customFormat="false" ht="15" hidden="false" customHeight="true" outlineLevel="0" collapsed="false">
      <c r="A3" s="13"/>
      <c r="B3" s="13" t="s">
        <v>67</v>
      </c>
      <c r="C3" s="13" t="s">
        <v>68</v>
      </c>
      <c r="D3" s="13" t="s">
        <v>69</v>
      </c>
      <c r="E3" s="13" t="s">
        <v>70</v>
      </c>
    </row>
    <row r="4" customFormat="false" ht="15" hidden="false" customHeight="true" outlineLevel="0" collapsed="false">
      <c r="A4" s="15" t="s">
        <v>71</v>
      </c>
      <c r="B4" s="22" t="n">
        <v>2</v>
      </c>
      <c r="C4" s="22" t="n">
        <v>-1</v>
      </c>
      <c r="D4" s="22" t="n">
        <v>0</v>
      </c>
      <c r="E4" s="22" t="n">
        <v>3</v>
      </c>
    </row>
    <row r="5" customFormat="false" ht="15" hidden="false" customHeight="true" outlineLevel="0" collapsed="false">
      <c r="A5" s="11" t="s">
        <v>72</v>
      </c>
      <c r="B5" s="22" t="n">
        <v>1</v>
      </c>
      <c r="C5" s="22" t="n">
        <v>1</v>
      </c>
      <c r="D5" s="22" t="n">
        <v>1</v>
      </c>
      <c r="E5" s="22" t="n">
        <v>1</v>
      </c>
    </row>
    <row r="6" customFormat="false" ht="15" hidden="false" customHeight="true" outlineLevel="0" collapsed="false">
      <c r="A6" s="11" t="s">
        <v>73</v>
      </c>
      <c r="B6" s="23" t="n">
        <v>1E-006</v>
      </c>
    </row>
    <row r="7" customFormat="false" ht="15" hidden="false" customHeight="true" outlineLevel="0" collapsed="false">
      <c r="A7" s="11" t="s">
        <v>74</v>
      </c>
      <c r="B7" s="24" t="n">
        <f aca="false">SUMSQ(B4:E4)/4</f>
        <v>3.5</v>
      </c>
    </row>
    <row r="8" customFormat="false" ht="15" hidden="false" customHeight="true" outlineLevel="0" collapsed="false">
      <c r="A8" s="11" t="s">
        <v>75</v>
      </c>
      <c r="B8" s="24" t="n">
        <f aca="false">SQRT(B7+B6)</f>
        <v>1.87082896064819</v>
      </c>
    </row>
    <row r="9" customFormat="false" ht="15" hidden="false" customHeight="true" outlineLevel="0" collapsed="false">
      <c r="A9" s="15" t="s">
        <v>76</v>
      </c>
      <c r="B9" s="25" t="n">
        <f aca="false">B4/$B$8*B5</f>
        <v>1.06904481492902</v>
      </c>
      <c r="C9" s="25" t="n">
        <f aca="false">C4/$B$8*C5</f>
        <v>-0.53452240746451</v>
      </c>
      <c r="D9" s="25" t="n">
        <f aca="false">D4/$B$8*D5</f>
        <v>0</v>
      </c>
      <c r="E9" s="25" t="n">
        <f aca="false">E4/$B$8*E5</f>
        <v>1.60356722239353</v>
      </c>
      <c r="F9" s="11" t="s">
        <v>77</v>
      </c>
      <c r="G9" s="25" t="n">
        <f aca="false">SQRT(SUMSQ(B9:E9)/4)</f>
        <v>0.999999857142888</v>
      </c>
    </row>
    <row r="11" customFormat="false" ht="15" hidden="false" customHeight="true" outlineLevel="0" collapsed="false">
      <c r="A11" s="13" t="s">
        <v>78</v>
      </c>
      <c r="B11" s="13" t="s">
        <v>67</v>
      </c>
      <c r="C11" s="13" t="s">
        <v>68</v>
      </c>
      <c r="D11" s="13" t="s">
        <v>69</v>
      </c>
      <c r="E11" s="13" t="s">
        <v>70</v>
      </c>
      <c r="F11" s="13" t="s">
        <v>79</v>
      </c>
      <c r="G11" s="13" t="s">
        <v>80</v>
      </c>
      <c r="H11" s="13" t="s">
        <v>81</v>
      </c>
    </row>
    <row r="12" customFormat="false" ht="15" hidden="false" customHeight="true" outlineLevel="0" collapsed="false">
      <c r="A12" s="11" t="s">
        <v>82</v>
      </c>
      <c r="B12" s="26" t="n">
        <v>1</v>
      </c>
      <c r="C12" s="26" t="n">
        <v>0</v>
      </c>
      <c r="D12" s="26" t="n">
        <v>0</v>
      </c>
      <c r="E12" s="26" t="n">
        <v>1</v>
      </c>
      <c r="F12" s="24" t="n">
        <f aca="false">SUMPRODUCT($B$9:$E$9,B12:E12)</f>
        <v>2.67261203732255</v>
      </c>
      <c r="G12" s="24" t="n">
        <f aca="false">F12/(1+EXP(-F12))</f>
        <v>2.49993742930029</v>
      </c>
      <c r="H12" s="24" t="n">
        <f aca="false">1/(1+EXP(-F12))</f>
        <v>0.935391068508678</v>
      </c>
    </row>
    <row r="13" customFormat="false" ht="15" hidden="false" customHeight="true" outlineLevel="0" collapsed="false">
      <c r="A13" s="11" t="s">
        <v>83</v>
      </c>
      <c r="B13" s="26" t="n">
        <v>0</v>
      </c>
      <c r="C13" s="26" t="n">
        <v>1</v>
      </c>
      <c r="D13" s="26" t="n">
        <v>1</v>
      </c>
      <c r="E13" s="26" t="n">
        <v>0</v>
      </c>
      <c r="F13" s="24" t="n">
        <f aca="false">SUMPRODUCT($B$9:$E$9,B13:E13)</f>
        <v>-0.53452240746451</v>
      </c>
      <c r="G13" s="24" t="n">
        <f aca="false">F13/(1+EXP(-F13))</f>
        <v>-0.197486106506349</v>
      </c>
      <c r="H13" s="24" t="n">
        <f aca="false">1/(1+EXP(-F13))</f>
        <v>0.369462727377731</v>
      </c>
    </row>
    <row r="14" customFormat="false" ht="15" hidden="false" customHeight="true" outlineLevel="0" collapsed="false">
      <c r="A14" s="11" t="s">
        <v>84</v>
      </c>
      <c r="B14" s="26" t="n">
        <v>0.5</v>
      </c>
      <c r="C14" s="26" t="n">
        <v>0</v>
      </c>
      <c r="D14" s="26" t="n">
        <v>0</v>
      </c>
      <c r="E14" s="26" t="n">
        <v>0.5</v>
      </c>
      <c r="F14" s="24" t="n">
        <f aca="false">SUMPRODUCT($B$9:$E$9,B14:E14)</f>
        <v>1.33630601866128</v>
      </c>
    </row>
    <row r="15" customFormat="false" ht="15" hidden="false" customHeight="true" outlineLevel="0" collapsed="false">
      <c r="A15" s="11" t="s">
        <v>85</v>
      </c>
      <c r="B15" s="26" t="n">
        <v>0</v>
      </c>
      <c r="C15" s="26" t="n">
        <v>0</v>
      </c>
      <c r="D15" s="26" t="n">
        <v>1</v>
      </c>
      <c r="E15" s="26" t="n">
        <v>-1</v>
      </c>
      <c r="F15" s="24" t="n">
        <f aca="false">SUMPRODUCT($B$9:$E$9,B15:E15)</f>
        <v>-1.60356722239353</v>
      </c>
    </row>
    <row r="17" customFormat="false" ht="15" hidden="false" customHeight="true" outlineLevel="0" collapsed="false">
      <c r="A17" s="15" t="s">
        <v>86</v>
      </c>
      <c r="B17" s="25" t="n">
        <f aca="false">G12*F14</f>
        <v>3.34068143305058</v>
      </c>
      <c r="C17" s="25" t="n">
        <f aca="false">G13*F15</f>
        <v>0.316682247271699</v>
      </c>
    </row>
    <row r="19" customFormat="false" ht="15" hidden="false" customHeight="true" outlineLevel="0" collapsed="false">
      <c r="A19" s="13" t="s">
        <v>87</v>
      </c>
      <c r="B19" s="13" t="s">
        <v>88</v>
      </c>
      <c r="C19" s="13" t="s">
        <v>89</v>
      </c>
      <c r="D19" s="13" t="s">
        <v>90</v>
      </c>
      <c r="E19" s="13" t="s">
        <v>91</v>
      </c>
    </row>
    <row r="20" customFormat="false" ht="15" hidden="false" customHeight="true" outlineLevel="0" collapsed="false">
      <c r="A20" s="11" t="s">
        <v>92</v>
      </c>
      <c r="B20" s="26" t="n">
        <v>1</v>
      </c>
      <c r="C20" s="26" t="n">
        <v>0</v>
      </c>
      <c r="D20" s="24" t="n">
        <f aca="false">B20*$B$17+C20*$C$17</f>
        <v>3.34068143305058</v>
      </c>
      <c r="E20" s="25" t="n">
        <f aca="false">D20+INDEX($B$4:$E$4,1)</f>
        <v>5.34068143305058</v>
      </c>
    </row>
    <row r="21" customFormat="false" ht="15" hidden="false" customHeight="true" outlineLevel="0" collapsed="false">
      <c r="A21" s="11" t="s">
        <v>93</v>
      </c>
      <c r="B21" s="26" t="n">
        <v>0</v>
      </c>
      <c r="C21" s="26" t="n">
        <v>1</v>
      </c>
      <c r="D21" s="24" t="n">
        <f aca="false">B21*$B$17+C21*$C$17</f>
        <v>0.316682247271699</v>
      </c>
      <c r="E21" s="25" t="n">
        <f aca="false">D21+INDEX($B$4:$E$4,2)</f>
        <v>-0.683317752728301</v>
      </c>
    </row>
    <row r="22" customFormat="false" ht="15" hidden="false" customHeight="true" outlineLevel="0" collapsed="false">
      <c r="A22" s="11" t="s">
        <v>94</v>
      </c>
      <c r="B22" s="26" t="n">
        <v>0.5</v>
      </c>
      <c r="C22" s="26" t="n">
        <v>0.5</v>
      </c>
      <c r="D22" s="24" t="n">
        <f aca="false">B22*$B$17+C22*$C$17</f>
        <v>1.82868184016114</v>
      </c>
      <c r="E22" s="25" t="n">
        <f aca="false">D22+INDEX($B$4:$E$4,3)</f>
        <v>1.82868184016114</v>
      </c>
    </row>
    <row r="23" customFormat="false" ht="15" hidden="false" customHeight="true" outlineLevel="0" collapsed="false">
      <c r="A23" s="11" t="s">
        <v>95</v>
      </c>
      <c r="B23" s="26" t="n">
        <v>0</v>
      </c>
      <c r="C23" s="26" t="n">
        <v>0</v>
      </c>
      <c r="D23" s="24" t="n">
        <f aca="false">B23*$B$17+C23*$C$17</f>
        <v>0</v>
      </c>
      <c r="E23" s="25" t="n">
        <f aca="false">D23+INDEX($B$4:$E$4,4)</f>
        <v>3</v>
      </c>
    </row>
    <row r="25" customFormat="false" ht="15" hidden="false" customHeight="true" outlineLevel="0" collapsed="false">
      <c r="A25" s="21" t="s">
        <v>96</v>
      </c>
    </row>
    <row r="26" customFormat="false" ht="15" hidden="false" customHeight="true" outlineLevel="0" collapsed="false">
      <c r="A26" s="21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10" min="2" style="1" width="13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2"/>
  </cols>
  <sheetData>
    <row r="1" customFormat="false" ht="15.75" hidden="false" customHeight="true" outlineLevel="0" collapsed="false">
      <c r="A1" s="10" t="s">
        <v>98</v>
      </c>
    </row>
    <row r="3" customFormat="false" ht="15" hidden="false" customHeight="true" outlineLevel="0" collapsed="false">
      <c r="A3" s="11" t="s">
        <v>99</v>
      </c>
      <c r="B3" s="12" t="n">
        <v>131072</v>
      </c>
    </row>
    <row r="4" customFormat="false" ht="15" hidden="false" customHeight="true" outlineLevel="0" collapsed="false">
      <c r="A4" s="11" t="s">
        <v>100</v>
      </c>
      <c r="B4" s="27" t="n">
        <v>2</v>
      </c>
    </row>
    <row r="6" customFormat="false" ht="43.5" hidden="false" customHeight="true" outlineLevel="0" collapsed="false">
      <c r="A6" s="13" t="s">
        <v>101</v>
      </c>
      <c r="B6" s="13" t="s">
        <v>102</v>
      </c>
      <c r="C6" s="13" t="s">
        <v>103</v>
      </c>
      <c r="D6" s="13" t="s">
        <v>104</v>
      </c>
      <c r="E6" s="13" t="s">
        <v>105</v>
      </c>
      <c r="F6" s="13" t="s">
        <v>106</v>
      </c>
      <c r="G6" s="13" t="s">
        <v>107</v>
      </c>
      <c r="H6" s="13" t="s">
        <v>108</v>
      </c>
      <c r="I6" s="13" t="s">
        <v>109</v>
      </c>
      <c r="J6" s="13" t="s">
        <v>110</v>
      </c>
      <c r="K6" s="13" t="s">
        <v>111</v>
      </c>
      <c r="L6" s="13" t="s">
        <v>112</v>
      </c>
      <c r="M6" s="13" t="s">
        <v>113</v>
      </c>
      <c r="N6" s="13" t="s">
        <v>114</v>
      </c>
    </row>
    <row r="7" customFormat="false" ht="15" hidden="false" customHeight="true" outlineLevel="0" collapsed="false">
      <c r="A7" s="28" t="s">
        <v>115</v>
      </c>
      <c r="B7" s="12" t="n">
        <v>32</v>
      </c>
      <c r="C7" s="12" t="n">
        <v>0</v>
      </c>
      <c r="D7" s="12" t="n">
        <v>0</v>
      </c>
      <c r="E7" s="12" t="n">
        <v>32</v>
      </c>
      <c r="F7" s="12" t="n">
        <v>128</v>
      </c>
      <c r="G7" s="12" t="n">
        <v>0</v>
      </c>
      <c r="H7" s="14" t="n">
        <f aca="false">IF(E7&gt;0,2*E7*F7,G7)*$B$4</f>
        <v>16384</v>
      </c>
      <c r="I7" s="18" t="n">
        <f aca="false">(B7*H7*$B$3+C7*H7*MIN($B$3,D7))/1000000000</f>
        <v>68.719476736</v>
      </c>
      <c r="J7" s="17" t="n">
        <f aca="false">(B7+C7)*H7*$B$3/1000000000</f>
        <v>68.719476736</v>
      </c>
      <c r="K7" s="14" t="n">
        <f aca="false">B7*H7</f>
        <v>524288</v>
      </c>
      <c r="L7" s="17" t="n">
        <f aca="false">B7*H7*$B$3/1000000000</f>
        <v>68.719476736</v>
      </c>
      <c r="M7" s="20" t="n">
        <f aca="false">C7*H7*MIN($B$3,D7)/1000000</f>
        <v>0</v>
      </c>
      <c r="N7" s="19" t="n">
        <f aca="false">I7/J7</f>
        <v>1</v>
      </c>
    </row>
    <row r="8" customFormat="false" ht="15" hidden="false" customHeight="true" outlineLevel="0" collapsed="false">
      <c r="A8" s="28" t="s">
        <v>116</v>
      </c>
      <c r="B8" s="12" t="n">
        <v>36</v>
      </c>
      <c r="C8" s="12" t="n">
        <v>0</v>
      </c>
      <c r="D8" s="12" t="n">
        <v>0</v>
      </c>
      <c r="E8" s="12" t="n">
        <v>8</v>
      </c>
      <c r="F8" s="12" t="n">
        <v>128</v>
      </c>
      <c r="G8" s="12" t="n">
        <v>0</v>
      </c>
      <c r="H8" s="14" t="n">
        <f aca="false">IF(E8&gt;0,2*E8*F8,G8)*$B$4</f>
        <v>4096</v>
      </c>
      <c r="I8" s="18" t="n">
        <f aca="false">(B8*H8*$B$3+C8*H8*MIN($B$3,D8))/1000000000</f>
        <v>19.327352832</v>
      </c>
      <c r="J8" s="17" t="n">
        <f aca="false">(B8+C8)*H8*$B$3/1000000000</f>
        <v>19.327352832</v>
      </c>
      <c r="K8" s="14" t="n">
        <f aca="false">B8*H8</f>
        <v>147456</v>
      </c>
      <c r="L8" s="17" t="n">
        <f aca="false">B8*H8*$B$3/1000000000</f>
        <v>19.327352832</v>
      </c>
      <c r="M8" s="20" t="n">
        <f aca="false">C8*H8*MIN($B$3,D8)/1000000</f>
        <v>0</v>
      </c>
      <c r="N8" s="19" t="n">
        <f aca="false">I8/J8</f>
        <v>1</v>
      </c>
    </row>
    <row r="9" customFormat="false" ht="15" hidden="false" customHeight="true" outlineLevel="0" collapsed="false">
      <c r="A9" s="28" t="s">
        <v>117</v>
      </c>
      <c r="B9" s="12" t="n">
        <v>10</v>
      </c>
      <c r="C9" s="12" t="n">
        <v>52</v>
      </c>
      <c r="D9" s="12" t="n">
        <v>1024</v>
      </c>
      <c r="E9" s="12" t="n">
        <v>16</v>
      </c>
      <c r="F9" s="12" t="n">
        <v>128</v>
      </c>
      <c r="G9" s="12" t="n">
        <v>0</v>
      </c>
      <c r="H9" s="14" t="n">
        <f aca="false">IF(E9&gt;0,2*E9*F9,G9)*$B$4</f>
        <v>8192</v>
      </c>
      <c r="I9" s="18" t="n">
        <f aca="false">(B9*H9*$B$3+C9*H9*MIN($B$3,D9))/1000000000</f>
        <v>11.173625856</v>
      </c>
      <c r="J9" s="17" t="n">
        <f aca="false">(B9+C9)*H9*$B$3/1000000000</f>
        <v>66.571993088</v>
      </c>
      <c r="K9" s="14" t="n">
        <f aca="false">B9*H9</f>
        <v>81920</v>
      </c>
      <c r="L9" s="17" t="n">
        <f aca="false">B9*H9*$B$3/1000000000</f>
        <v>10.73741824</v>
      </c>
      <c r="M9" s="20" t="n">
        <f aca="false">C9*H9*MIN($B$3,D9)/1000000</f>
        <v>436.207616</v>
      </c>
      <c r="N9" s="19" t="n">
        <f aca="false">I9/J9</f>
        <v>0.167842741935484</v>
      </c>
    </row>
    <row r="10" customFormat="false" ht="15" hidden="false" customHeight="true" outlineLevel="0" collapsed="false">
      <c r="A10" s="28" t="s">
        <v>118</v>
      </c>
      <c r="B10" s="12" t="n">
        <v>18</v>
      </c>
      <c r="C10" s="12" t="n">
        <v>18</v>
      </c>
      <c r="D10" s="12" t="n">
        <v>128</v>
      </c>
      <c r="E10" s="12" t="n">
        <v>8</v>
      </c>
      <c r="F10" s="12" t="n">
        <v>64</v>
      </c>
      <c r="G10" s="12" t="n">
        <v>0</v>
      </c>
      <c r="H10" s="14" t="n">
        <f aca="false">IF(E10&gt;0,2*E10*F10,G10)*$B$4</f>
        <v>2048</v>
      </c>
      <c r="I10" s="18" t="n">
        <f aca="false">(B10*H10*$B$3+C10*H10*MIN($B$3,D10))/1000000000</f>
        <v>4.8365568</v>
      </c>
      <c r="J10" s="17" t="n">
        <f aca="false">(B10+C10)*H10*$B$3/1000000000</f>
        <v>9.663676416</v>
      </c>
      <c r="K10" s="14" t="n">
        <f aca="false">B10*H10</f>
        <v>36864</v>
      </c>
      <c r="L10" s="17" t="n">
        <f aca="false">B10*H10*$B$3/1000000000</f>
        <v>4.831838208</v>
      </c>
      <c r="M10" s="20" t="n">
        <f aca="false">C10*H10*MIN($B$3,D10)/1000000</f>
        <v>4.718592</v>
      </c>
      <c r="N10" s="19" t="n">
        <f aca="false">I10/J10</f>
        <v>0.50048828125</v>
      </c>
    </row>
    <row r="11" customFormat="false" ht="15" hidden="false" customHeight="true" outlineLevel="0" collapsed="false">
      <c r="A11" s="28" t="s">
        <v>119</v>
      </c>
      <c r="B11" s="12" t="n">
        <v>61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576</v>
      </c>
      <c r="H11" s="14" t="n">
        <f aca="false">IF(E11&gt;0,2*E11*F11,G11)*$B$4</f>
        <v>1152</v>
      </c>
      <c r="I11" s="18" t="n">
        <f aca="false">(B11*H11*$B$3+C11*H11*MIN($B$3,D11))/1000000000</f>
        <v>9.210691584</v>
      </c>
      <c r="J11" s="17" t="n">
        <f aca="false">(B11+C11)*H11*$B$3/1000000000</f>
        <v>9.210691584</v>
      </c>
      <c r="K11" s="14" t="n">
        <f aca="false">B11*H11</f>
        <v>70272</v>
      </c>
      <c r="L11" s="17" t="n">
        <f aca="false">B11*H11*$B$3/1000000000</f>
        <v>9.210691584</v>
      </c>
      <c r="M11" s="20" t="n">
        <f aca="false">C11*H11*MIN($B$3,D11)/1000000</f>
        <v>0</v>
      </c>
      <c r="N11" s="19" t="n">
        <f aca="false">I11/J11</f>
        <v>1</v>
      </c>
    </row>
    <row r="12" customFormat="false" ht="15" hidden="false" customHeight="true" outlineLevel="0" collapsed="false">
      <c r="A12" s="28" t="s">
        <v>120</v>
      </c>
      <c r="B12" s="12" t="n">
        <v>61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40960</v>
      </c>
      <c r="H12" s="14" t="n">
        <f aca="false">IF(E12&gt;0,2*E12*F12,G12)*$B$4</f>
        <v>81920</v>
      </c>
      <c r="I12" s="18" t="n">
        <f aca="false">(B12*H12*$B$3+C12*H12*MIN($B$3,D12))/1000000000</f>
        <v>654.98251264</v>
      </c>
      <c r="J12" s="17" t="n">
        <f aca="false">(B12+C12)*H12*$B$3/1000000000</f>
        <v>654.98251264</v>
      </c>
      <c r="K12" s="14" t="n">
        <f aca="false">B12*H12</f>
        <v>4997120</v>
      </c>
      <c r="L12" s="17" t="n">
        <f aca="false">B12*H12*$B$3/1000000000</f>
        <v>654.98251264</v>
      </c>
      <c r="M12" s="20" t="n">
        <f aca="false">C12*H12*MIN($B$3,D12)/1000000</f>
        <v>0</v>
      </c>
      <c r="N12" s="19" t="n">
        <f aca="false">I12/J12</f>
        <v>1</v>
      </c>
    </row>
    <row r="14" customFormat="false" ht="15" hidden="false" customHeight="true" outlineLevel="0" collapsed="false">
      <c r="A14" s="11" t="s">
        <v>121</v>
      </c>
      <c r="B14" s="29" t="n">
        <f aca="false">I12/I11</f>
        <v>71.1111111111111</v>
      </c>
    </row>
    <row r="16" customFormat="false" ht="15" hidden="false" customHeight="true" outlineLevel="0" collapsed="false">
      <c r="A16" s="21" t="s">
        <v>122</v>
      </c>
    </row>
    <row r="17" customFormat="false" ht="15" hidden="false" customHeight="true" outlineLevel="0" collapsed="false">
      <c r="A17" s="21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8" min="7" style="1" width="22"/>
    <col collapsed="false" customWidth="true" hidden="false" outlineLevel="0" max="9" min="9" style="1" width="3"/>
    <col collapsed="false" customWidth="true" hidden="false" outlineLevel="0" max="10" min="10" style="1" width="40"/>
    <col collapsed="false" customWidth="true" hidden="false" outlineLevel="0" max="11" min="11" style="1" width="13"/>
  </cols>
  <sheetData>
    <row r="1" customFormat="false" ht="15.75" hidden="false" customHeight="true" outlineLevel="0" collapsed="false">
      <c r="A1" s="10" t="s">
        <v>124</v>
      </c>
    </row>
    <row r="3" customFormat="false" ht="15" hidden="false" customHeight="true" outlineLevel="0" collapsed="false">
      <c r="A3" s="11" t="s">
        <v>125</v>
      </c>
      <c r="B3" s="12" t="n">
        <v>500000</v>
      </c>
      <c r="I3" s="30"/>
      <c r="J3" s="13" t="s">
        <v>126</v>
      </c>
      <c r="K3" s="13" t="s">
        <v>39</v>
      </c>
    </row>
    <row r="4" customFormat="false" ht="15" hidden="false" customHeight="true" outlineLevel="0" collapsed="false">
      <c r="A4" s="11" t="s">
        <v>127</v>
      </c>
      <c r="B4" s="12" t="n">
        <v>128</v>
      </c>
      <c r="I4" s="30"/>
      <c r="J4" s="11" t="s">
        <v>128</v>
      </c>
      <c r="K4" s="12" t="n">
        <v>10000</v>
      </c>
    </row>
    <row r="5" customFormat="false" ht="15" hidden="false" customHeight="true" outlineLevel="0" collapsed="false">
      <c r="A5" s="11" t="s">
        <v>129</v>
      </c>
      <c r="B5" s="12" t="n">
        <v>8</v>
      </c>
      <c r="I5" s="30"/>
      <c r="J5" s="11" t="s">
        <v>130</v>
      </c>
      <c r="K5" s="12" t="n">
        <v>4096</v>
      </c>
    </row>
    <row r="6" customFormat="false" ht="15" hidden="false" customHeight="true" outlineLevel="0" collapsed="false">
      <c r="A6" s="11" t="s">
        <v>131</v>
      </c>
      <c r="B6" s="12" t="n">
        <v>8192</v>
      </c>
      <c r="I6" s="30"/>
      <c r="J6" s="11" t="s">
        <v>132</v>
      </c>
      <c r="K6" s="12" t="n">
        <v>32768</v>
      </c>
    </row>
    <row r="7" customFormat="false" ht="15" hidden="false" customHeight="true" outlineLevel="0" collapsed="false">
      <c r="A7" s="11" t="s">
        <v>133</v>
      </c>
      <c r="B7" s="12" t="n">
        <v>1</v>
      </c>
      <c r="I7" s="30"/>
      <c r="J7" s="11" t="s">
        <v>134</v>
      </c>
      <c r="K7" s="31" t="n">
        <f aca="false">K4^(-2*($B$4/2-1)/$B$4)</f>
        <v>0.000115478198468946</v>
      </c>
    </row>
    <row r="8" customFormat="false" ht="15" hidden="false" customHeight="true" outlineLevel="0" collapsed="false">
      <c r="A8" s="11" t="s">
        <v>135</v>
      </c>
      <c r="B8" s="12" t="n">
        <v>4</v>
      </c>
      <c r="I8" s="30"/>
      <c r="J8" s="11" t="s">
        <v>136</v>
      </c>
      <c r="K8" s="14" t="n">
        <f aca="false">2*PI()/K7</f>
        <v>54410.1431307768</v>
      </c>
    </row>
    <row r="9" customFormat="false" ht="15" hidden="false" customHeight="true" outlineLevel="0" collapsed="false">
      <c r="A9" s="11" t="s">
        <v>137</v>
      </c>
      <c r="B9" s="12" t="n">
        <v>100000</v>
      </c>
      <c r="I9" s="30"/>
      <c r="J9" s="11" t="s">
        <v>138</v>
      </c>
      <c r="K9" s="32" t="n">
        <f aca="false">K5*K7</f>
        <v>0.472998700928802</v>
      </c>
    </row>
    <row r="10" customFormat="false" ht="15" hidden="false" customHeight="true" outlineLevel="0" collapsed="false">
      <c r="I10" s="30"/>
      <c r="J10" s="11" t="s">
        <v>139</v>
      </c>
      <c r="K10" s="32" t="n">
        <f aca="false">K6*K7</f>
        <v>3.78398960743042</v>
      </c>
    </row>
    <row r="11" customFormat="false" ht="23.25" hidden="false" customHeight="true" outlineLevel="0" collapsed="false">
      <c r="A11" s="13" t="s">
        <v>140</v>
      </c>
      <c r="B11" s="13" t="s">
        <v>141</v>
      </c>
      <c r="C11" s="13" t="s">
        <v>142</v>
      </c>
      <c r="D11" s="13" t="s">
        <v>143</v>
      </c>
      <c r="E11" s="13" t="s">
        <v>144</v>
      </c>
      <c r="F11" s="13" t="s">
        <v>145</v>
      </c>
      <c r="G11" s="13" t="s">
        <v>146</v>
      </c>
      <c r="H11" s="13" t="s">
        <v>147</v>
      </c>
    </row>
    <row r="12" customFormat="false" ht="15" hidden="false" customHeight="true" outlineLevel="0" collapsed="false">
      <c r="A12" s="33" t="n">
        <v>0</v>
      </c>
      <c r="B12" s="31" t="n">
        <f aca="false">$B$3^(-2*A12/$B$4)</f>
        <v>1</v>
      </c>
      <c r="C12" s="20" t="n">
        <f aca="false">2*PI()/B12</f>
        <v>6.28318530717959</v>
      </c>
      <c r="D12" s="11" t="str">
        <f aca="false">IF(C12&lt;$B$6/$B$8,"kept",IF(C12&gt;$B$6/$B$7,"slowed","blended"))</f>
        <v>kept</v>
      </c>
      <c r="E12" s="31" t="n">
        <f aca="false">IF(C12&lt;$B$6/$B$8,B12,IF(C12&gt;$B$6/$B$7,B12/$B$5,(1-($B$6/C12-$B$7)/($B$8-$B$7))*B12/$B$5+($B$6/C12-$B$7)/($B$8-$B$7)*B12))</f>
        <v>1</v>
      </c>
      <c r="F12" s="20" t="n">
        <f aca="false">2*PI()/E12</f>
        <v>6.28318530717959</v>
      </c>
      <c r="G12" s="24" t="n">
        <f aca="false">MOD($B$9*E12,2*PI())</f>
        <v>3.10583623687853</v>
      </c>
      <c r="H12" s="24" t="n">
        <f aca="false">MOD($B$9*B12,2*PI())</f>
        <v>3.10583623687853</v>
      </c>
      <c r="I12" s="30"/>
      <c r="J12" s="13" t="s">
        <v>148</v>
      </c>
      <c r="K12" s="13" t="s">
        <v>39</v>
      </c>
    </row>
    <row r="13" customFormat="false" ht="15" hidden="false" customHeight="true" outlineLevel="0" collapsed="false">
      <c r="A13" s="33" t="n">
        <v>1</v>
      </c>
      <c r="B13" s="31" t="n">
        <f aca="false">$B$3^(-2*A13/$B$4)</f>
        <v>0.814617233856545</v>
      </c>
      <c r="C13" s="20" t="n">
        <f aca="false">2*PI()/B13</f>
        <v>7.7130522729477</v>
      </c>
      <c r="D13" s="11" t="str">
        <f aca="false">IF(C13&lt;$B$6/$B$8,"kept",IF(C13&gt;$B$6/$B$7,"slowed","blended"))</f>
        <v>kept</v>
      </c>
      <c r="E13" s="31" t="n">
        <f aca="false">IF(C13&lt;$B$6/$B$8,B13,IF(C13&gt;$B$6/$B$7,B13/$B$5,(1-($B$6/C13-$B$7)/($B$8-$B$7))*B13/$B$5+($B$6/C13-$B$7)/($B$8-$B$7)*B13))</f>
        <v>0.814617233856545</v>
      </c>
      <c r="F13" s="20" t="n">
        <f aca="false">2*PI()/E13</f>
        <v>7.7130522729477</v>
      </c>
      <c r="G13" s="24" t="n">
        <f aca="false">MOD($B$9*E13,2*PI())</f>
        <v>0.225878071141779</v>
      </c>
      <c r="H13" s="24" t="n">
        <f aca="false">MOD($B$9*B13,2*PI())</f>
        <v>0.225878071141779</v>
      </c>
      <c r="I13" s="30"/>
      <c r="J13" s="11" t="s">
        <v>149</v>
      </c>
      <c r="K13" s="14" t="n">
        <f aca="false">B6/B8</f>
        <v>2048</v>
      </c>
    </row>
    <row r="14" customFormat="false" ht="15" hidden="false" customHeight="true" outlineLevel="0" collapsed="false">
      <c r="A14" s="33" t="n">
        <v>2</v>
      </c>
      <c r="B14" s="31" t="n">
        <f aca="false">$B$3^(-2*A14/$B$4)</f>
        <v>0.663601237696089</v>
      </c>
      <c r="C14" s="20" t="n">
        <f aca="false">2*PI()/B14</f>
        <v>9.46831462972213</v>
      </c>
      <c r="D14" s="11" t="str">
        <f aca="false">IF(C14&lt;$B$6/$B$8,"kept",IF(C14&gt;$B$6/$B$7,"slowed","blended"))</f>
        <v>kept</v>
      </c>
      <c r="E14" s="31" t="n">
        <f aca="false">IF(C14&lt;$B$6/$B$8,B14,IF(C14&gt;$B$6/$B$7,B14/$B$5,(1-($B$6/C14-$B$7)/($B$8-$B$7))*B14/$B$5+($B$6/C14-$B$7)/($B$8-$B$7)*B14))</f>
        <v>0.663601237696089</v>
      </c>
      <c r="F14" s="20" t="n">
        <f aca="false">2*PI()/E14</f>
        <v>9.46831462972213</v>
      </c>
      <c r="G14" s="24" t="n">
        <f aca="false">MOD($B$9*E14,2*PI())</f>
        <v>3.40374048524245</v>
      </c>
      <c r="H14" s="24" t="n">
        <f aca="false">MOD($B$9*B14,2*PI())</f>
        <v>3.40374048524245</v>
      </c>
      <c r="I14" s="30"/>
      <c r="J14" s="11" t="s">
        <v>150</v>
      </c>
      <c r="K14" s="14" t="n">
        <f aca="false">B6/B7</f>
        <v>8192</v>
      </c>
    </row>
    <row r="15" customFormat="false" ht="15" hidden="false" customHeight="true" outlineLevel="0" collapsed="false">
      <c r="A15" s="33" t="n">
        <v>3</v>
      </c>
      <c r="B15" s="31" t="n">
        <f aca="false">$B$3^(-2*A15/$B$4)</f>
        <v>0.540581004635767</v>
      </c>
      <c r="C15" s="20" t="n">
        <f aca="false">2*PI()/B15</f>
        <v>11.6230227353495</v>
      </c>
      <c r="D15" s="11" t="str">
        <f aca="false">IF(C15&lt;$B$6/$B$8,"kept",IF(C15&gt;$B$6/$B$7,"slowed","blended"))</f>
        <v>kept</v>
      </c>
      <c r="E15" s="31" t="n">
        <f aca="false">IF(C15&lt;$B$6/$B$8,B15,IF(C15&gt;$B$6/$B$7,B15/$B$5,(1-($B$6/C15-$B$7)/($B$8-$B$7))*B15/$B$5+($B$6/C15-$B$7)/($B$8-$B$7)*B15))</f>
        <v>0.540581004635767</v>
      </c>
      <c r="F15" s="20" t="n">
        <f aca="false">2*PI()/E15</f>
        <v>11.6230227353495</v>
      </c>
      <c r="G15" s="24" t="n">
        <f aca="false">MOD($B$9*E15,2*PI())</f>
        <v>3.8572659107158</v>
      </c>
      <c r="H15" s="24" t="n">
        <f aca="false">MOD($B$9*B15,2*PI())</f>
        <v>3.8572659107158</v>
      </c>
      <c r="I15" s="30"/>
      <c r="J15" s="11" t="s">
        <v>151</v>
      </c>
      <c r="K15" s="33" t="n">
        <f aca="false">COUNTIF($D$12:$D$75,"kept")</f>
        <v>29</v>
      </c>
    </row>
    <row r="16" customFormat="false" ht="15" hidden="false" customHeight="true" outlineLevel="0" collapsed="false">
      <c r="A16" s="33" t="n">
        <v>4</v>
      </c>
      <c r="B16" s="31" t="n">
        <f aca="false">$B$3^(-2*A16/$B$4)</f>
        <v>0.44036660267178</v>
      </c>
      <c r="C16" s="20" t="n">
        <f aca="false">2*PI()/B16</f>
        <v>14.2680786169033</v>
      </c>
      <c r="D16" s="11" t="str">
        <f aca="false">IF(C16&lt;$B$6/$B$8,"kept",IF(C16&gt;$B$6/$B$7,"slowed","blended"))</f>
        <v>kept</v>
      </c>
      <c r="E16" s="31" t="n">
        <f aca="false">IF(C16&lt;$B$6/$B$8,B16,IF(C16&gt;$B$6/$B$7,B16/$B$5,(1-($B$6/C16-$B$7)/($B$8-$B$7))*B16/$B$5+($B$6/C16-$B$7)/($B$8-$B$7)*B16))</f>
        <v>0.44036660267178</v>
      </c>
      <c r="F16" s="20" t="n">
        <f aca="false">2*PI()/E16</f>
        <v>14.2680786169033</v>
      </c>
      <c r="G16" s="24" t="n">
        <f aca="false">MOD($B$9*E16,2*PI())</f>
        <v>4.09763446350553</v>
      </c>
      <c r="H16" s="24" t="n">
        <f aca="false">MOD($B$9*B16,2*PI())</f>
        <v>4.09763446350553</v>
      </c>
      <c r="I16" s="30"/>
      <c r="J16" s="11" t="s">
        <v>152</v>
      </c>
      <c r="K16" s="33" t="n">
        <f aca="false">COUNTIF($D$12:$D$75,"blended")</f>
        <v>6</v>
      </c>
    </row>
    <row r="17" customFormat="false" ht="15" hidden="false" customHeight="true" outlineLevel="0" collapsed="false">
      <c r="A17" s="33" t="n">
        <v>5</v>
      </c>
      <c r="B17" s="31" t="n">
        <f aca="false">$B$3^(-2*A17/$B$4)</f>
        <v>0.35873022375129</v>
      </c>
      <c r="C17" s="20" t="n">
        <f aca="false">2*PI()/B17</f>
        <v>17.515070911716</v>
      </c>
      <c r="D17" s="11" t="str">
        <f aca="false">IF(C17&lt;$B$6/$B$8,"kept",IF(C17&gt;$B$6/$B$7,"slowed","blended"))</f>
        <v>kept</v>
      </c>
      <c r="E17" s="31" t="n">
        <f aca="false">IF(C17&lt;$B$6/$B$8,B17,IF(C17&gt;$B$6/$B$7,B17/$B$5,(1-($B$6/C17-$B$7)/($B$8-$B$7))*B17/$B$5+($B$6/C17-$B$7)/($B$8-$B$7)*B17))</f>
        <v>0.35873022375129</v>
      </c>
      <c r="F17" s="20" t="n">
        <f aca="false">2*PI()/E17</f>
        <v>17.515070911716</v>
      </c>
      <c r="G17" s="24" t="n">
        <f aca="false">MOD($B$9*E17,2*PI())</f>
        <v>2.31745644073089</v>
      </c>
      <c r="H17" s="24" t="n">
        <f aca="false">MOD($B$9*B17,2*PI())</f>
        <v>2.31745644073089</v>
      </c>
      <c r="I17" s="30"/>
      <c r="J17" s="11" t="s">
        <v>153</v>
      </c>
      <c r="K17" s="33" t="n">
        <f aca="false">COUNTIF($D$12:$D$75,"slowed")</f>
        <v>29</v>
      </c>
    </row>
    <row r="18" customFormat="false" ht="15" hidden="false" customHeight="true" outlineLevel="0" collapsed="false">
      <c r="A18" s="33" t="n">
        <v>6</v>
      </c>
      <c r="B18" s="31" t="n">
        <f aca="false">$B$3^(-2*A18/$B$4)</f>
        <v>0.292227822573015</v>
      </c>
      <c r="C18" s="20" t="n">
        <f aca="false">2*PI()/B18</f>
        <v>21.5009825274583</v>
      </c>
      <c r="D18" s="11" t="str">
        <f aca="false">IF(C18&lt;$B$6/$B$8,"kept",IF(C18&gt;$B$6/$B$7,"slowed","blended"))</f>
        <v>kept</v>
      </c>
      <c r="E18" s="31" t="n">
        <f aca="false">IF(C18&lt;$B$6/$B$8,B18,IF(C18&gt;$B$6/$B$7,B18/$B$5,(1-($B$6/C18-$B$7)/($B$8-$B$7))*B18/$B$5+($B$6/C18-$B$7)/($B$8-$B$7)*B18))</f>
        <v>0.292227822573015</v>
      </c>
      <c r="F18" s="20" t="n">
        <f aca="false">2*PI()/E18</f>
        <v>21.5009825274583</v>
      </c>
      <c r="G18" s="24" t="n">
        <f aca="false">MOD($B$9*E18,2*PI())</f>
        <v>5.97057891643635</v>
      </c>
      <c r="H18" s="24" t="n">
        <f aca="false">MOD($B$9*B18,2*PI())</f>
        <v>5.97057891643635</v>
      </c>
      <c r="I18" s="30"/>
      <c r="J18" s="11" t="s">
        <v>154</v>
      </c>
      <c r="K18" s="33" t="n">
        <f aca="false">K15-1</f>
        <v>28</v>
      </c>
    </row>
    <row r="19" customFormat="false" ht="15" hidden="false" customHeight="true" outlineLevel="0" collapsed="false">
      <c r="A19" s="33" t="n">
        <v>7</v>
      </c>
      <c r="B19" s="31" t="n">
        <f aca="false">$B$3^(-2*A19/$B$4)</f>
        <v>0.238053820480351</v>
      </c>
      <c r="C19" s="20" t="n">
        <f aca="false">2*PI()/B19</f>
        <v>26.3939696262855</v>
      </c>
      <c r="D19" s="11" t="str">
        <f aca="false">IF(C19&lt;$B$6/$B$8,"kept",IF(C19&gt;$B$6/$B$7,"slowed","blended"))</f>
        <v>kept</v>
      </c>
      <c r="E19" s="31" t="n">
        <f aca="false">IF(C19&lt;$B$6/$B$8,B19,IF(C19&gt;$B$6/$B$7,B19/$B$5,(1-($B$6/C19-$B$7)/($B$8-$B$7))*B19/$B$5+($B$6/C19-$B$7)/($B$8-$B$7)*B19))</f>
        <v>0.238053820480351</v>
      </c>
      <c r="F19" s="20" t="n">
        <f aca="false">2*PI()/E19</f>
        <v>26.3939696262855</v>
      </c>
      <c r="G19" s="24" t="n">
        <f aca="false">MOD($B$9*E19,2*PI())</f>
        <v>4.67610443880039</v>
      </c>
      <c r="H19" s="24" t="n">
        <f aca="false">MOD($B$9*B19,2*PI())</f>
        <v>4.67610443880039</v>
      </c>
      <c r="I19" s="30"/>
      <c r="J19" s="11" t="s">
        <v>155</v>
      </c>
      <c r="K19" s="33" t="n">
        <f aca="false">$B$4/2-K17</f>
        <v>35</v>
      </c>
    </row>
    <row r="20" customFormat="false" ht="15" hidden="false" customHeight="true" outlineLevel="0" collapsed="false">
      <c r="A20" s="33" t="n">
        <v>8</v>
      </c>
      <c r="B20" s="31" t="n">
        <f aca="false">$B$3^(-2*A20/$B$4)</f>
        <v>0.193922744748686</v>
      </c>
      <c r="C20" s="20" t="n">
        <f aca="false">2*PI()/B20</f>
        <v>32.4004557346911</v>
      </c>
      <c r="D20" s="11" t="str">
        <f aca="false">IF(C20&lt;$B$6/$B$8,"kept",IF(C20&gt;$B$6/$B$7,"slowed","blended"))</f>
        <v>kept</v>
      </c>
      <c r="E20" s="31" t="n">
        <f aca="false">IF(C20&lt;$B$6/$B$8,B20,IF(C20&gt;$B$6/$B$7,B20/$B$5,(1-($B$6/C20-$B$7)/($B$8-$B$7))*B20/$B$5+($B$6/C20-$B$7)/($B$8-$B$7)*B20))</f>
        <v>0.193922744748686</v>
      </c>
      <c r="F20" s="20" t="n">
        <f aca="false">2*PI()/E20</f>
        <v>32.4004557346911</v>
      </c>
      <c r="G20" s="24" t="n">
        <f aca="false">MOD($B$9*E20,2*PI())</f>
        <v>2.36461691237491</v>
      </c>
      <c r="H20" s="24" t="n">
        <f aca="false">MOD($B$9*B20,2*PI())</f>
        <v>2.36461691237491</v>
      </c>
    </row>
    <row r="21" customFormat="false" ht="15" hidden="false" customHeight="true" outlineLevel="0" collapsed="false">
      <c r="A21" s="33" t="n">
        <v>9</v>
      </c>
      <c r="B21" s="31" t="n">
        <f aca="false">$B$3^(-2*A21/$B$4)</f>
        <v>0.157972809909043</v>
      </c>
      <c r="C21" s="20" t="n">
        <f aca="false">2*PI()/B21</f>
        <v>39.773840262747</v>
      </c>
      <c r="D21" s="11" t="str">
        <f aca="false">IF(C21&lt;$B$6/$B$8,"kept",IF(C21&gt;$B$6/$B$7,"slowed","blended"))</f>
        <v>kept</v>
      </c>
      <c r="E21" s="31" t="n">
        <f aca="false">IF(C21&lt;$B$6/$B$8,B21,IF(C21&gt;$B$6/$B$7,B21/$B$5,(1-($B$6/C21-$B$7)/($B$8-$B$7))*B21/$B$5+($B$6/C21-$B$7)/($B$8-$B$7)*B21))</f>
        <v>0.157972809909043</v>
      </c>
      <c r="F21" s="20" t="n">
        <f aca="false">2*PI()/E21</f>
        <v>39.773840262747</v>
      </c>
      <c r="G21" s="24" t="n">
        <f aca="false">MOD($B$9*E21,2*PI())</f>
        <v>1.35312865483866</v>
      </c>
      <c r="H21" s="24" t="n">
        <f aca="false">MOD($B$9*B21,2*PI())</f>
        <v>1.35312865483866</v>
      </c>
    </row>
    <row r="22" customFormat="false" ht="15" hidden="false" customHeight="true" outlineLevel="0" collapsed="false">
      <c r="A22" s="33" t="n">
        <v>10</v>
      </c>
      <c r="B22" s="31" t="n">
        <f aca="false">$B$3^(-2*A22/$B$4)</f>
        <v>0.128687373432651</v>
      </c>
      <c r="C22" s="20" t="n">
        <f aca="false">2*PI()/B22</f>
        <v>48.8251888245115</v>
      </c>
      <c r="D22" s="11" t="str">
        <f aca="false">IF(C22&lt;$B$6/$B$8,"kept",IF(C22&gt;$B$6/$B$7,"slowed","blended"))</f>
        <v>kept</v>
      </c>
      <c r="E22" s="31" t="n">
        <f aca="false">IF(C22&lt;$B$6/$B$8,B22,IF(C22&gt;$B$6/$B$7,B22/$B$5,(1-($B$6/C22-$B$7)/($B$8-$B$7))*B22/$B$5+($B$6/C22-$B$7)/($B$8-$B$7)*B22))</f>
        <v>0.128687373432651</v>
      </c>
      <c r="F22" s="20" t="n">
        <f aca="false">2*PI()/E22</f>
        <v>48.8251888245115</v>
      </c>
      <c r="G22" s="24" t="n">
        <f aca="false">MOD($B$9*E22,2*PI())</f>
        <v>0.773834161260311</v>
      </c>
      <c r="H22" s="24" t="n">
        <f aca="false">MOD($B$9*B22,2*PI())</f>
        <v>0.773834161260311</v>
      </c>
    </row>
    <row r="23" customFormat="false" ht="15" hidden="false" customHeight="true" outlineLevel="0" collapsed="false">
      <c r="A23" s="33" t="n">
        <v>11</v>
      </c>
      <c r="B23" s="31" t="n">
        <f aca="false">$B$3^(-2*A23/$B$4)</f>
        <v>0.10483095217797</v>
      </c>
      <c r="C23" s="20" t="n">
        <f aca="false">2*PI()/B23</f>
        <v>59.9363563588807</v>
      </c>
      <c r="D23" s="11" t="str">
        <f aca="false">IF(C23&lt;$B$6/$B$8,"kept",IF(C23&gt;$B$6/$B$7,"slowed","blended"))</f>
        <v>kept</v>
      </c>
      <c r="E23" s="31" t="n">
        <f aca="false">IF(C23&lt;$B$6/$B$8,B23,IF(C23&gt;$B$6/$B$7,B23/$B$5,(1-($B$6/C23-$B$7)/($B$8-$B$7))*B23/$B$5+($B$6/C23-$B$7)/($B$8-$B$7)*B23))</f>
        <v>0.10483095217797</v>
      </c>
      <c r="F23" s="20" t="n">
        <f aca="false">2*PI()/E23</f>
        <v>59.9363563588807</v>
      </c>
      <c r="G23" s="24" t="n">
        <f aca="false">MOD($B$9*E23,2*PI())</f>
        <v>2.74212542144596</v>
      </c>
      <c r="H23" s="24" t="n">
        <f aca="false">MOD($B$9*B23,2*PI())</f>
        <v>2.74212542144596</v>
      </c>
    </row>
    <row r="24" customFormat="false" ht="15" hidden="false" customHeight="true" outlineLevel="0" collapsed="false">
      <c r="A24" s="33" t="n">
        <v>12</v>
      </c>
      <c r="B24" s="31" t="n">
        <f aca="false">$B$3^(-2*A24/$B$4)</f>
        <v>0.0853971002857656</v>
      </c>
      <c r="C24" s="20" t="n">
        <f aca="false">2*PI()/B24</f>
        <v>73.5760966842442</v>
      </c>
      <c r="D24" s="11" t="str">
        <f aca="false">IF(C24&lt;$B$6/$B$8,"kept",IF(C24&gt;$B$6/$B$7,"slowed","blended"))</f>
        <v>kept</v>
      </c>
      <c r="E24" s="31" t="n">
        <f aca="false">IF(C24&lt;$B$6/$B$8,B24,IF(C24&gt;$B$6/$B$7,B24/$B$5,(1-($B$6/C24-$B$7)/($B$8-$B$7))*B24/$B$5+($B$6/C24-$B$7)/($B$8-$B$7)*B24))</f>
        <v>0.0853971002857656</v>
      </c>
      <c r="F24" s="20" t="n">
        <f aca="false">2*PI()/E24</f>
        <v>73.5760966842442</v>
      </c>
      <c r="G24" s="24" t="n">
        <f aca="false">MOD($B$9*E24,2*PI())</f>
        <v>0.861196119503802</v>
      </c>
      <c r="H24" s="24" t="n">
        <f aca="false">MOD($B$9*B24,2*PI())</f>
        <v>0.861196119503802</v>
      </c>
    </row>
    <row r="25" customFormat="false" ht="15" hidden="false" customHeight="true" outlineLevel="0" collapsed="false">
      <c r="A25" s="33" t="n">
        <v>13</v>
      </c>
      <c r="B25" s="31" t="n">
        <f aca="false">$B$3^(-2*A25/$B$4)</f>
        <v>0.0695659496141603</v>
      </c>
      <c r="C25" s="20" t="n">
        <f aca="false">2*PI()/B25</f>
        <v>90.3198381108655</v>
      </c>
      <c r="D25" s="11" t="str">
        <f aca="false">IF(C25&lt;$B$6/$B$8,"kept",IF(C25&gt;$B$6/$B$7,"slowed","blended"))</f>
        <v>kept</v>
      </c>
      <c r="E25" s="31" t="n">
        <f aca="false">IF(C25&lt;$B$6/$B$8,B25,IF(C25&gt;$B$6/$B$7,B25/$B$5,(1-($B$6/C25-$B$7)/($B$8-$B$7))*B25/$B$5+($B$6/C25-$B$7)/($B$8-$B$7)*B25))</f>
        <v>0.0695659496141603</v>
      </c>
      <c r="F25" s="20" t="n">
        <f aca="false">2*PI()/E25</f>
        <v>90.3198381108655</v>
      </c>
      <c r="G25" s="24" t="n">
        <f aca="false">MOD($B$9*E25,2*PI())</f>
        <v>1.10882636822953</v>
      </c>
      <c r="H25" s="24" t="n">
        <f aca="false">MOD($B$9*B25,2*PI())</f>
        <v>1.10882636822953</v>
      </c>
    </row>
    <row r="26" customFormat="false" ht="15" hidden="false" customHeight="true" outlineLevel="0" collapsed="false">
      <c r="A26" s="33" t="n">
        <v>14</v>
      </c>
      <c r="B26" s="31" t="n">
        <f aca="false">$B$3^(-2*A26/$B$4)</f>
        <v>0.0566696214452911</v>
      </c>
      <c r="C26" s="20" t="n">
        <f aca="false">2*PI()/B26</f>
        <v>110.873959397195</v>
      </c>
      <c r="D26" s="11" t="str">
        <f aca="false">IF(C26&lt;$B$6/$B$8,"kept",IF(C26&gt;$B$6/$B$7,"slowed","blended"))</f>
        <v>kept</v>
      </c>
      <c r="E26" s="31" t="n">
        <f aca="false">IF(C26&lt;$B$6/$B$8,B26,IF(C26&gt;$B$6/$B$7,B26/$B$5,(1-($B$6/C26-$B$7)/($B$8-$B$7))*B26/$B$5+($B$6/C26-$B$7)/($B$8-$B$7)*B26))</f>
        <v>0.0566696214452911</v>
      </c>
      <c r="F26" s="20" t="n">
        <f aca="false">2*PI()/E26</f>
        <v>110.873959397195</v>
      </c>
      <c r="G26" s="24" t="n">
        <f aca="false">MOD($B$9*E26,2*PI())</f>
        <v>5.81218276029813</v>
      </c>
      <c r="H26" s="24" t="n">
        <f aca="false">MOD($B$9*B26,2*PI())</f>
        <v>5.81218276029813</v>
      </c>
    </row>
    <row r="27" customFormat="false" ht="15" hidden="false" customHeight="true" outlineLevel="0" collapsed="false">
      <c r="A27" s="33" t="n">
        <v>15</v>
      </c>
      <c r="B27" s="31" t="n">
        <f aca="false">$B$3^(-2*A27/$B$4)</f>
        <v>0.0461640502654605</v>
      </c>
      <c r="C27" s="20" t="n">
        <f aca="false">2*PI()/B27</f>
        <v>136.105590195161</v>
      </c>
      <c r="D27" s="11" t="str">
        <f aca="false">IF(C27&lt;$B$6/$B$8,"kept",IF(C27&gt;$B$6/$B$7,"slowed","blended"))</f>
        <v>kept</v>
      </c>
      <c r="E27" s="31" t="n">
        <f aca="false">IF(C27&lt;$B$6/$B$8,B27,IF(C27&gt;$B$6/$B$7,B27/$B$5,(1-($B$6/C27-$B$7)/($B$8-$B$7))*B27/$B$5+($B$6/C27-$B$7)/($B$8-$B$7)*B27))</f>
        <v>0.0461640502654605</v>
      </c>
      <c r="F27" s="20" t="n">
        <f aca="false">2*PI()/E27</f>
        <v>136.105590195161</v>
      </c>
      <c r="G27" s="24" t="n">
        <f aca="false">MOD($B$9*E27,2*PI())</f>
        <v>4.54701107623532</v>
      </c>
      <c r="H27" s="24" t="n">
        <f aca="false">MOD($B$9*B27,2*PI())</f>
        <v>4.54701107623532</v>
      </c>
    </row>
    <row r="28" customFormat="false" ht="15" hidden="false" customHeight="true" outlineLevel="0" collapsed="false">
      <c r="A28" s="33" t="n">
        <v>16</v>
      </c>
      <c r="B28" s="31" t="n">
        <f aca="false">$B$3^(-2*A28/$B$4)</f>
        <v>0.0376060309308639</v>
      </c>
      <c r="C28" s="20" t="n">
        <f aca="false">2*PI()/B28</f>
        <v>167.079193194591</v>
      </c>
      <c r="D28" s="11" t="str">
        <f aca="false">IF(C28&lt;$B$6/$B$8,"kept",IF(C28&gt;$B$6/$B$7,"slowed","blended"))</f>
        <v>kept</v>
      </c>
      <c r="E28" s="31" t="n">
        <f aca="false">IF(C28&lt;$B$6/$B$8,B28,IF(C28&gt;$B$6/$B$7,B28/$B$5,(1-($B$6/C28-$B$7)/($B$8-$B$7))*B28/$B$5+($B$6/C28-$B$7)/($B$8-$B$7)*B28))</f>
        <v>0.0376060309308639</v>
      </c>
      <c r="F28" s="20" t="n">
        <f aca="false">2*PI()/E28</f>
        <v>167.079193194591</v>
      </c>
      <c r="G28" s="24" t="n">
        <f aca="false">MOD($B$9*E28,2*PI())</f>
        <v>3.25827939300098</v>
      </c>
      <c r="H28" s="24" t="n">
        <f aca="false">MOD($B$9*B28,2*PI())</f>
        <v>3.25827939300098</v>
      </c>
    </row>
    <row r="29" customFormat="false" ht="15" hidden="false" customHeight="true" outlineLevel="0" collapsed="false">
      <c r="A29" s="33" t="n">
        <v>17</v>
      </c>
      <c r="B29" s="31" t="n">
        <f aca="false">$B$3^(-2*A29/$B$4)</f>
        <v>0.030634520893224</v>
      </c>
      <c r="C29" s="20" t="n">
        <f aca="false">2*PI()/B29</f>
        <v>205.1014712807</v>
      </c>
      <c r="D29" s="11" t="str">
        <f aca="false">IF(C29&lt;$B$6/$B$8,"kept",IF(C29&gt;$B$6/$B$7,"slowed","blended"))</f>
        <v>kept</v>
      </c>
      <c r="E29" s="31" t="n">
        <f aca="false">IF(C29&lt;$B$6/$B$8,B29,IF(C29&gt;$B$6/$B$7,B29/$B$5,(1-($B$6/C29-$B$7)/($B$8-$B$7))*B29/$B$5+($B$6/C29-$B$7)/($B$8-$B$7)*B29))</f>
        <v>0.030634520893224</v>
      </c>
      <c r="F29" s="20" t="n">
        <f aca="false">2*PI()/E29</f>
        <v>205.1014712807</v>
      </c>
      <c r="G29" s="24" t="n">
        <f aca="false">MOD($B$9*E29,2*PI())</f>
        <v>3.54084472594604</v>
      </c>
      <c r="H29" s="24" t="n">
        <f aca="false">MOD($B$9*B29,2*PI())</f>
        <v>3.54084472594604</v>
      </c>
    </row>
    <row r="30" customFormat="false" ht="15" hidden="false" customHeight="true" outlineLevel="0" collapsed="false">
      <c r="A30" s="33" t="n">
        <v>18</v>
      </c>
      <c r="B30" s="31" t="n">
        <f aca="false">$B$3^(-2*A30/$B$4)</f>
        <v>0.0249554086705587</v>
      </c>
      <c r="C30" s="20" t="n">
        <f aca="false">2*PI()/B30</f>
        <v>251.776494231177</v>
      </c>
      <c r="D30" s="11" t="str">
        <f aca="false">IF(C30&lt;$B$6/$B$8,"kept",IF(C30&gt;$B$6/$B$7,"slowed","blended"))</f>
        <v>kept</v>
      </c>
      <c r="E30" s="31" t="n">
        <f aca="false">IF(C30&lt;$B$6/$B$8,B30,IF(C30&gt;$B$6/$B$7,B30/$B$5,(1-($B$6/C30-$B$7)/($B$8-$B$7))*B30/$B$5+($B$6/C30-$B$7)/($B$8-$B$7)*B30))</f>
        <v>0.0249554086705587</v>
      </c>
      <c r="F30" s="20" t="n">
        <f aca="false">2*PI()/E30</f>
        <v>251.776494231177</v>
      </c>
      <c r="G30" s="24" t="n">
        <f aca="false">MOD($B$9*E30,2*PI())</f>
        <v>1.11630010557383</v>
      </c>
      <c r="H30" s="24" t="n">
        <f aca="false">MOD($B$9*B30,2*PI())</f>
        <v>1.11630010557383</v>
      </c>
    </row>
    <row r="31" customFormat="false" ht="15" hidden="false" customHeight="true" outlineLevel="0" collapsed="false">
      <c r="A31" s="33" t="n">
        <v>19</v>
      </c>
      <c r="B31" s="31" t="n">
        <f aca="false">$B$3^(-2*A31/$B$4)</f>
        <v>0.0203291059809702</v>
      </c>
      <c r="C31" s="20" t="n">
        <f aca="false">2*PI()/B31</f>
        <v>309.073370617538</v>
      </c>
      <c r="D31" s="11" t="str">
        <f aca="false">IF(C31&lt;$B$6/$B$8,"kept",IF(C31&gt;$B$6/$B$7,"slowed","blended"))</f>
        <v>kept</v>
      </c>
      <c r="E31" s="31" t="n">
        <f aca="false">IF(C31&lt;$B$6/$B$8,B31,IF(C31&gt;$B$6/$B$7,B31/$B$5,(1-($B$6/C31-$B$7)/($B$8-$B$7))*B31/$B$5+($B$6/C31-$B$7)/($B$8-$B$7)*B31))</f>
        <v>0.0203291059809702</v>
      </c>
      <c r="F31" s="20" t="n">
        <f aca="false">2*PI()/E31</f>
        <v>309.073370617538</v>
      </c>
      <c r="G31" s="24" t="n">
        <f aca="false">MOD($B$9*E31,2*PI())</f>
        <v>3.44174387800899</v>
      </c>
      <c r="H31" s="24" t="n">
        <f aca="false">MOD($B$9*B31,2*PI())</f>
        <v>3.44174387800899</v>
      </c>
    </row>
    <row r="32" customFormat="false" ht="15" hidden="false" customHeight="true" outlineLevel="0" collapsed="false">
      <c r="A32" s="33" t="n">
        <v>20</v>
      </c>
      <c r="B32" s="31" t="n">
        <f aca="false">$B$3^(-2*A32/$B$4)</f>
        <v>0.0165604400809944</v>
      </c>
      <c r="C32" s="20" t="n">
        <f aca="false">2*PI()/B32</f>
        <v>379.409319827827</v>
      </c>
      <c r="D32" s="11" t="str">
        <f aca="false">IF(C32&lt;$B$6/$B$8,"kept",IF(C32&gt;$B$6/$B$7,"slowed","blended"))</f>
        <v>kept</v>
      </c>
      <c r="E32" s="31" t="n">
        <f aca="false">IF(C32&lt;$B$6/$B$8,B32,IF(C32&gt;$B$6/$B$7,B32/$B$5,(1-($B$6/C32-$B$7)/($B$8-$B$7))*B32/$B$5+($B$6/C32-$B$7)/($B$8-$B$7)*B32))</f>
        <v>0.0165604400809944</v>
      </c>
      <c r="F32" s="20" t="n">
        <f aca="false">2*PI()/E32</f>
        <v>379.409319827827</v>
      </c>
      <c r="G32" s="24" t="n">
        <f aca="false">MOD($B$9*E32,2*PI())</f>
        <v>3.56627231121342</v>
      </c>
      <c r="H32" s="24" t="n">
        <f aca="false">MOD($B$9*B32,2*PI())</f>
        <v>3.56627231121342</v>
      </c>
    </row>
    <row r="33" customFormat="false" ht="15" hidden="false" customHeight="true" outlineLevel="0" collapsed="false">
      <c r="A33" s="33" t="n">
        <v>21</v>
      </c>
      <c r="B33" s="31" t="n">
        <f aca="false">$B$3^(-2*A33/$B$4)</f>
        <v>0.0134904198902267</v>
      </c>
      <c r="C33" s="20" t="n">
        <f aca="false">2*PI()/B33</f>
        <v>465.751648822398</v>
      </c>
      <c r="D33" s="11" t="str">
        <f aca="false">IF(C33&lt;$B$6/$B$8,"kept",IF(C33&gt;$B$6/$B$7,"slowed","blended"))</f>
        <v>kept</v>
      </c>
      <c r="E33" s="31" t="n">
        <f aca="false">IF(C33&lt;$B$6/$B$8,B33,IF(C33&gt;$B$6/$B$7,B33/$B$5,(1-($B$6/C33-$B$7)/($B$8-$B$7))*B33/$B$5+($B$6/C33-$B$7)/($B$8-$B$7)*B33))</f>
        <v>0.0134904198902267</v>
      </c>
      <c r="F33" s="20" t="n">
        <f aca="false">2*PI()/E33</f>
        <v>465.751648822398</v>
      </c>
      <c r="G33" s="24" t="n">
        <f aca="false">MOD($B$9*E33,2*PI())</f>
        <v>4.44033328624346</v>
      </c>
      <c r="H33" s="24" t="n">
        <f aca="false">MOD($B$9*B33,2*PI())</f>
        <v>4.44033328624346</v>
      </c>
    </row>
    <row r="34" customFormat="false" ht="15" hidden="false" customHeight="true" outlineLevel="0" collapsed="false">
      <c r="A34" s="33" t="n">
        <v>22</v>
      </c>
      <c r="B34" s="31" t="n">
        <f aca="false">$B$3^(-2*A34/$B$4)</f>
        <v>0.0109895285345398</v>
      </c>
      <c r="C34" s="20" t="n">
        <f aca="false">2*PI()/B34</f>
        <v>571.742935780337</v>
      </c>
      <c r="D34" s="11" t="str">
        <f aca="false">IF(C34&lt;$B$6/$B$8,"kept",IF(C34&gt;$B$6/$B$7,"slowed","blended"))</f>
        <v>kept</v>
      </c>
      <c r="E34" s="31" t="n">
        <f aca="false">IF(C34&lt;$B$6/$B$8,B34,IF(C34&gt;$B$6/$B$7,B34/$B$5,(1-($B$6/C34-$B$7)/($B$8-$B$7))*B34/$B$5+($B$6/C34-$B$7)/($B$8-$B$7)*B34))</f>
        <v>0.0109895285345398</v>
      </c>
      <c r="F34" s="20" t="n">
        <f aca="false">2*PI()/E34</f>
        <v>571.742935780337</v>
      </c>
      <c r="G34" s="24" t="n">
        <f aca="false">MOD($B$9*E34,2*PI())</f>
        <v>5.67861000473454</v>
      </c>
      <c r="H34" s="24" t="n">
        <f aca="false">MOD($B$9*B34,2*PI())</f>
        <v>5.67861000473454</v>
      </c>
    </row>
    <row r="35" customFormat="false" ht="15" hidden="false" customHeight="true" outlineLevel="0" collapsed="false">
      <c r="A35" s="33" t="n">
        <v>23</v>
      </c>
      <c r="B35" s="31" t="n">
        <f aca="false">$B$3^(-2*A35/$B$4)</f>
        <v>0.0089522593361944</v>
      </c>
      <c r="C35" s="20" t="n">
        <f aca="false">2*PI()/B35</f>
        <v>701.854701837823</v>
      </c>
      <c r="D35" s="11" t="str">
        <f aca="false">IF(C35&lt;$B$6/$B$8,"kept",IF(C35&gt;$B$6/$B$7,"slowed","blended"))</f>
        <v>kept</v>
      </c>
      <c r="E35" s="31" t="n">
        <f aca="false">IF(C35&lt;$B$6/$B$8,B35,IF(C35&gt;$B$6/$B$7,B35/$B$5,(1-($B$6/C35-$B$7)/($B$8-$B$7))*B35/$B$5+($B$6/C35-$B$7)/($B$8-$B$7)*B35))</f>
        <v>0.0089522593361944</v>
      </c>
      <c r="F35" s="20" t="n">
        <f aca="false">2*PI()/E35</f>
        <v>701.854701837823</v>
      </c>
      <c r="G35" s="24" t="n">
        <f aca="false">MOD($B$9*E35,2*PI())</f>
        <v>3.01361999993867</v>
      </c>
      <c r="H35" s="24" t="n">
        <f aca="false">MOD($B$9*B35,2*PI())</f>
        <v>3.01361999993867</v>
      </c>
    </row>
    <row r="36" customFormat="false" ht="15" hidden="false" customHeight="true" outlineLevel="0" collapsed="false">
      <c r="A36" s="33" t="n">
        <v>24</v>
      </c>
      <c r="B36" s="31" t="n">
        <f aca="false">$B$3^(-2*A36/$B$4)</f>
        <v>0.00729266473721711</v>
      </c>
      <c r="C36" s="20" t="n">
        <f aca="false">2*PI()/B36</f>
        <v>861.576053964776</v>
      </c>
      <c r="D36" s="11" t="str">
        <f aca="false">IF(C36&lt;$B$6/$B$8,"kept",IF(C36&gt;$B$6/$B$7,"slowed","blended"))</f>
        <v>kept</v>
      </c>
      <c r="E36" s="31" t="n">
        <f aca="false">IF(C36&lt;$B$6/$B$8,B36,IF(C36&gt;$B$6/$B$7,B36/$B$5,(1-($B$6/C36-$B$7)/($B$8-$B$7))*B36/$B$5+($B$6/C36-$B$7)/($B$8-$B$7)*B36))</f>
        <v>0.00729266473721711</v>
      </c>
      <c r="F36" s="20" t="n">
        <f aca="false">2*PI()/E36</f>
        <v>861.576053964776</v>
      </c>
      <c r="G36" s="24" t="n">
        <f aca="false">MOD($B$9*E36,2*PI())</f>
        <v>0.416978088878864</v>
      </c>
      <c r="H36" s="24" t="n">
        <f aca="false">MOD($B$9*B36,2*PI())</f>
        <v>0.416978088878864</v>
      </c>
    </row>
    <row r="37" customFormat="false" ht="15" hidden="false" customHeight="true" outlineLevel="0" collapsed="false">
      <c r="A37" s="33" t="n">
        <v>25</v>
      </c>
      <c r="B37" s="31" t="n">
        <f aca="false">$B$3^(-2*A37/$B$4)</f>
        <v>0.00594073037567497</v>
      </c>
      <c r="C37" s="20" t="n">
        <f aca="false">2*PI()/B37</f>
        <v>1057.64525737556</v>
      </c>
      <c r="D37" s="11" t="str">
        <f aca="false">IF(C37&lt;$B$6/$B$8,"kept",IF(C37&gt;$B$6/$B$7,"slowed","blended"))</f>
        <v>kept</v>
      </c>
      <c r="E37" s="31" t="n">
        <f aca="false">IF(C37&lt;$B$6/$B$8,B37,IF(C37&gt;$B$6/$B$7,B37/$B$5,(1-($B$6/C37-$B$7)/($B$8-$B$7))*B37/$B$5+($B$6/C37-$B$7)/($B$8-$B$7)*B37))</f>
        <v>0.00594073037567497</v>
      </c>
      <c r="F37" s="20" t="n">
        <f aca="false">2*PI()/E37</f>
        <v>1057.64525737556</v>
      </c>
      <c r="G37" s="24" t="n">
        <f aca="false">MOD($B$9*E37,2*PI())</f>
        <v>3.45361869261558</v>
      </c>
      <c r="H37" s="24" t="n">
        <f aca="false">MOD($B$9*B37,2*PI())</f>
        <v>3.45361869261558</v>
      </c>
    </row>
    <row r="38" customFormat="false" ht="15" hidden="false" customHeight="true" outlineLevel="0" collapsed="false">
      <c r="A38" s="33" t="n">
        <v>26</v>
      </c>
      <c r="B38" s="31" t="n">
        <f aca="false">$B$3^(-2*A38/$B$4)</f>
        <v>0.00483942134571989</v>
      </c>
      <c r="C38" s="20" t="n">
        <f aca="false">2*PI()/B38</f>
        <v>1298.33400696482</v>
      </c>
      <c r="D38" s="11" t="str">
        <f aca="false">IF(C38&lt;$B$6/$B$8,"kept",IF(C38&gt;$B$6/$B$7,"slowed","blended"))</f>
        <v>kept</v>
      </c>
      <c r="E38" s="31" t="n">
        <f aca="false">IF(C38&lt;$B$6/$B$8,B38,IF(C38&gt;$B$6/$B$7,B38/$B$5,(1-($B$6/C38-$B$7)/($B$8-$B$7))*B38/$B$5+($B$6/C38-$B$7)/($B$8-$B$7)*B38))</f>
        <v>0.00483942134571989</v>
      </c>
      <c r="F38" s="20" t="n">
        <f aca="false">2*PI()/E38</f>
        <v>1298.33400696482</v>
      </c>
      <c r="G38" s="24" t="n">
        <f aca="false">MOD($B$9*E38,2*PI())</f>
        <v>0.136865919161153</v>
      </c>
      <c r="H38" s="24" t="n">
        <f aca="false">MOD($B$9*B38,2*PI())</f>
        <v>0.136865919161153</v>
      </c>
    </row>
    <row r="39" customFormat="false" ht="15" hidden="false" customHeight="true" outlineLevel="0" collapsed="false">
      <c r="A39" s="33" t="n">
        <v>27</v>
      </c>
      <c r="B39" s="31" t="n">
        <f aca="false">$B$3^(-2*A39/$B$4)</f>
        <v>0.00394227603011666</v>
      </c>
      <c r="C39" s="20" t="n">
        <f aca="false">2*PI()/B39</f>
        <v>1593.79639050634</v>
      </c>
      <c r="D39" s="11" t="str">
        <f aca="false">IF(C39&lt;$B$6/$B$8,"kept",IF(C39&gt;$B$6/$B$7,"slowed","blended"))</f>
        <v>kept</v>
      </c>
      <c r="E39" s="31" t="n">
        <f aca="false">IF(C39&lt;$B$6/$B$8,B39,IF(C39&gt;$B$6/$B$7,B39/$B$5,(1-($B$6/C39-$B$7)/($B$8-$B$7))*B39/$B$5+($B$6/C39-$B$7)/($B$8-$B$7)*B39))</f>
        <v>0.00394227603011666</v>
      </c>
      <c r="F39" s="20" t="n">
        <f aca="false">2*PI()/E39</f>
        <v>1593.79639050634</v>
      </c>
      <c r="G39" s="24" t="n">
        <f aca="false">MOD($B$9*E39,2*PI())</f>
        <v>4.67011396653129</v>
      </c>
      <c r="H39" s="24" t="n">
        <f aca="false">MOD($B$9*B39,2*PI())</f>
        <v>4.67011396653129</v>
      </c>
    </row>
    <row r="40" customFormat="false" ht="15" hidden="false" customHeight="true" outlineLevel="0" collapsed="false">
      <c r="A40" s="33" t="n">
        <v>28</v>
      </c>
      <c r="B40" s="31" t="n">
        <f aca="false">$B$3^(-2*A40/$B$4)</f>
        <v>0.00321144599475259</v>
      </c>
      <c r="C40" s="20" t="n">
        <f aca="false">2*PI()/B40</f>
        <v>1956.49726554522</v>
      </c>
      <c r="D40" s="11" t="str">
        <f aca="false">IF(C40&lt;$B$6/$B$8,"kept",IF(C40&gt;$B$6/$B$7,"slowed","blended"))</f>
        <v>kept</v>
      </c>
      <c r="E40" s="31" t="n">
        <f aca="false">IF(C40&lt;$B$6/$B$8,B40,IF(C40&gt;$B$6/$B$7,B40/$B$5,(1-($B$6/C40-$B$7)/($B$8-$B$7))*B40/$B$5+($B$6/C40-$B$7)/($B$8-$B$7)*B40))</f>
        <v>0.00321144599475259</v>
      </c>
      <c r="F40" s="20" t="n">
        <f aca="false">2*PI()/E40</f>
        <v>1956.49726554522</v>
      </c>
      <c r="G40" s="24" t="n">
        <f aca="false">MOD($B$9*E40,2*PI())</f>
        <v>0.702148809100208</v>
      </c>
      <c r="H40" s="24" t="n">
        <f aca="false">MOD($B$9*B40,2*PI())</f>
        <v>0.702148809100208</v>
      </c>
    </row>
    <row r="41" customFormat="false" ht="15" hidden="false" customHeight="true" outlineLevel="0" collapsed="false">
      <c r="A41" s="33" t="n">
        <v>29</v>
      </c>
      <c r="B41" s="31" t="n">
        <f aca="false">$B$3^(-2*A41/$B$4)</f>
        <v>0.00261609925292504</v>
      </c>
      <c r="C41" s="20" t="n">
        <f aca="false">2*PI()/B41</f>
        <v>2401.73812218876</v>
      </c>
      <c r="D41" s="11" t="str">
        <f aca="false">IF(C41&lt;$B$6/$B$8,"kept",IF(C41&gt;$B$6/$B$7,"slowed","blended"))</f>
        <v>blended</v>
      </c>
      <c r="E41" s="31" t="n">
        <f aca="false">IF(C41&lt;$B$6/$B$8,B41,IF(C41&gt;$B$6/$B$7,B41/$B$5,(1-($B$6/C41-$B$7)/($B$8-$B$7))*B41/$B$5+($B$6/C41-$B$7)/($B$8-$B$7)*B41))</f>
        <v>0.00216657076350336</v>
      </c>
      <c r="F41" s="20" t="n">
        <f aca="false">2*PI()/E41</f>
        <v>2900.06004559003</v>
      </c>
      <c r="G41" s="24" t="n">
        <f aca="false">MOD($B$9*E41,2*PI())</f>
        <v>3.02877590622995</v>
      </c>
      <c r="H41" s="24" t="n">
        <f aca="false">MOD($B$9*B41,2*PI())</f>
        <v>3.99932769814052</v>
      </c>
    </row>
    <row r="42" customFormat="false" ht="15" hidden="false" customHeight="true" outlineLevel="0" collapsed="false">
      <c r="A42" s="33" t="n">
        <v>30</v>
      </c>
      <c r="B42" s="31" t="n">
        <f aca="false">$B$3^(-2*A42/$B$4)</f>
        <v>0.00213111953691197</v>
      </c>
      <c r="C42" s="20" t="n">
        <f aca="false">2*PI()/B42</f>
        <v>2948.30261670073</v>
      </c>
      <c r="D42" s="11" t="str">
        <f aca="false">IF(C42&lt;$B$6/$B$8,"kept",IF(C42&gt;$B$6/$B$7,"slowed","blended"))</f>
        <v>blended</v>
      </c>
      <c r="E42" s="31" t="n">
        <f aca="false">IF(C42&lt;$B$6/$B$8,B42,IF(C42&gt;$B$6/$B$7,B42/$B$5,(1-($B$6/C42-$B$7)/($B$8-$B$7))*B42/$B$5+($B$6/C42-$B$7)/($B$8-$B$7)*B42))</f>
        <v>0.00137189356776114</v>
      </c>
      <c r="F42" s="20" t="n">
        <f aca="false">2*PI()/E42</f>
        <v>4579.93641404226</v>
      </c>
      <c r="G42" s="24" t="n">
        <f aca="false">MOD($B$9*E42,2*PI())</f>
        <v>5.24246532534249</v>
      </c>
      <c r="H42" s="24" t="n">
        <f aca="false">MOD($B$9*B42,2*PI())</f>
        <v>5.76683855427018</v>
      </c>
    </row>
    <row r="43" customFormat="false" ht="15" hidden="false" customHeight="true" outlineLevel="0" collapsed="false">
      <c r="A43" s="33" t="n">
        <v>31</v>
      </c>
      <c r="B43" s="31" t="n">
        <f aca="false">$B$3^(-2*A43/$B$4)</f>
        <v>0.00173604670217687</v>
      </c>
      <c r="C43" s="20" t="n">
        <f aca="false">2*PI()/B43</f>
        <v>3619.24900943101</v>
      </c>
      <c r="D43" s="11" t="str">
        <f aca="false">IF(C43&lt;$B$6/$B$8,"kept",IF(C43&gt;$B$6/$B$7,"slowed","blended"))</f>
        <v>blended</v>
      </c>
      <c r="E43" s="31" t="n">
        <f aca="false">IF(C43&lt;$B$6/$B$8,B43,IF(C43&gt;$B$6/$B$7,B43/$B$5,(1-($B$6/C43-$B$7)/($B$8-$B$7))*B43/$B$5+($B$6/C43-$B$7)/($B$8-$B$7)*B43))</f>
        <v>0.000856751412919632</v>
      </c>
      <c r="F43" s="20" t="n">
        <f aca="false">2*PI()/E43</f>
        <v>7333.73206326884</v>
      </c>
      <c r="G43" s="24" t="n">
        <f aca="false">MOD($B$9*E43,2*PI())</f>
        <v>3.99373229862859</v>
      </c>
      <c r="H43" s="24" t="n">
        <f aca="false">MOD($B$9*B43,2*PI())</f>
        <v>3.95866692383774</v>
      </c>
    </row>
    <row r="44" customFormat="false" ht="15" hidden="false" customHeight="true" outlineLevel="0" collapsed="false">
      <c r="A44" s="33" t="n">
        <v>32</v>
      </c>
      <c r="B44" s="31" t="n">
        <f aca="false">$B$3^(-2*A44/$B$4)</f>
        <v>0.0014142135623731</v>
      </c>
      <c r="C44" s="20" t="n">
        <f aca="false">2*PI()/B44</f>
        <v>4442.88293815837</v>
      </c>
      <c r="D44" s="11" t="str">
        <f aca="false">IF(C44&lt;$B$6/$B$8,"kept",IF(C44&gt;$B$6/$B$7,"slowed","blended"))</f>
        <v>blended</v>
      </c>
      <c r="E44" s="31" t="n">
        <f aca="false">IF(C44&lt;$B$6/$B$8,B44,IF(C44&gt;$B$6/$B$7,B44/$B$5,(1-($B$6/C44-$B$7)/($B$8-$B$7))*B44/$B$5+($B$6/C44-$B$7)/($B$8-$B$7)*B44))</f>
        <v>0.000524846160992955</v>
      </c>
      <c r="F44" s="20" t="n">
        <f aca="false">2*PI()/E44</f>
        <v>11971.4799767087</v>
      </c>
      <c r="G44" s="24" t="n">
        <f aca="false">MOD($B$9*E44,2*PI())</f>
        <v>2.21913364185878</v>
      </c>
      <c r="H44" s="24" t="n">
        <f aca="false">MOD($B$9*B44,2*PI())</f>
        <v>3.19127947935863</v>
      </c>
    </row>
    <row r="45" customFormat="false" ht="15" hidden="false" customHeight="true" outlineLevel="0" collapsed="false">
      <c r="A45" s="33" t="n">
        <v>33</v>
      </c>
      <c r="B45" s="31" t="n">
        <f aca="false">$B$3^(-2*A45/$B$4)</f>
        <v>0.00115204274026278</v>
      </c>
      <c r="C45" s="20" t="n">
        <f aca="false">2*PI()/B45</f>
        <v>5453.95156584763</v>
      </c>
      <c r="D45" s="11" t="str">
        <f aca="false">IF(C45&lt;$B$6/$B$8,"kept",IF(C45&gt;$B$6/$B$7,"slowed","blended"))</f>
        <v>blended</v>
      </c>
      <c r="E45" s="31" t="n">
        <f aca="false">IF(C45&lt;$B$6/$B$8,B45,IF(C45&gt;$B$6/$B$7,B45/$B$5,(1-($B$6/C45-$B$7)/($B$8-$B$7))*B45/$B$5+($B$6/C45-$B$7)/($B$8-$B$7)*B45))</f>
        <v>0.000312693750384065</v>
      </c>
      <c r="F45" s="20" t="n">
        <f aca="false">2*PI()/E45</f>
        <v>20093.7348426768</v>
      </c>
      <c r="G45" s="24" t="n">
        <f aca="false">MOD($B$9*E45,2*PI())</f>
        <v>6.13663380968817</v>
      </c>
      <c r="H45" s="24" t="n">
        <f aca="false">MOD($B$9*B45,2*PI())</f>
        <v>2.10693849704553</v>
      </c>
    </row>
    <row r="46" customFormat="false" ht="15" hidden="false" customHeight="true" outlineLevel="0" collapsed="false">
      <c r="A46" s="33" t="n">
        <v>34</v>
      </c>
      <c r="B46" s="31" t="n">
        <f aca="false">$B$3^(-2*A46/$B$4)</f>
        <v>0.00093847387035738</v>
      </c>
      <c r="C46" s="20" t="n">
        <f aca="false">2*PI()/B46</f>
        <v>6695.10948108431</v>
      </c>
      <c r="D46" s="11" t="str">
        <f aca="false">IF(C46&lt;$B$6/$B$8,"kept",IF(C46&gt;$B$6/$B$7,"slowed","blended"))</f>
        <v>blended</v>
      </c>
      <c r="E46" s="31" t="n">
        <f aca="false">IF(C46&lt;$B$6/$B$8,B46,IF(C46&gt;$B$6/$B$7,B46/$B$5,(1-($B$6/C46-$B$7)/($B$8-$B$7))*B46/$B$5+($B$6/C46-$B$7)/($B$8-$B$7)*B46))</f>
        <v>0.000178507812767996</v>
      </c>
      <c r="F46" s="20" t="n">
        <f aca="false">2*PI()/E46</f>
        <v>35198.3770892187</v>
      </c>
      <c r="G46" s="24" t="n">
        <f aca="false">MOD($B$9*E46,2*PI())</f>
        <v>5.28441066244047</v>
      </c>
      <c r="H46" s="24" t="n">
        <f aca="false">MOD($B$9*B46,2*PI())</f>
        <v>5.88279273522382</v>
      </c>
    </row>
    <row r="47" customFormat="false" ht="15" hidden="false" customHeight="true" outlineLevel="0" collapsed="false">
      <c r="A47" s="33" t="n">
        <v>35</v>
      </c>
      <c r="B47" s="31" t="n">
        <f aca="false">$B$3^(-2*A47/$B$4)</f>
        <v>0.000764496988317175</v>
      </c>
      <c r="C47" s="20" t="n">
        <f aca="false">2*PI()/B47</f>
        <v>8218.71819405104</v>
      </c>
      <c r="D47" s="11" t="str">
        <f aca="false">IF(C47&lt;$B$6/$B$8,"kept",IF(C47&gt;$B$6/$B$7,"slowed","blended"))</f>
        <v>slowed</v>
      </c>
      <c r="E47" s="31" t="n">
        <f aca="false">IF(C47&lt;$B$6/$B$8,B47,IF(C47&gt;$B$6/$B$7,B47/$B$5,(1-($B$6/C47-$B$7)/($B$8-$B$7))*B47/$B$5+($B$6/C47-$B$7)/($B$8-$B$7)*B47))</f>
        <v>9.55621235396468E-005</v>
      </c>
      <c r="F47" s="20" t="n">
        <f aca="false">2*PI()/E47</f>
        <v>65749.7455524083</v>
      </c>
      <c r="G47" s="24" t="n">
        <f aca="false">MOD($B$9*E47,2*PI())</f>
        <v>3.2730270467851</v>
      </c>
      <c r="H47" s="24" t="n">
        <f aca="false">MOD($B$9*B47,2*PI())</f>
        <v>1.05147514556244</v>
      </c>
    </row>
    <row r="48" customFormat="false" ht="15" hidden="false" customHeight="true" outlineLevel="0" collapsed="false">
      <c r="A48" s="33" t="n">
        <v>36</v>
      </c>
      <c r="B48" s="31" t="n">
        <f aca="false">$B$3^(-2*A48/$B$4)</f>
        <v>0.000622772421914596</v>
      </c>
      <c r="C48" s="20" t="n">
        <f aca="false">2*PI()/B48</f>
        <v>10089.0551445151</v>
      </c>
      <c r="D48" s="11" t="str">
        <f aca="false">IF(C48&lt;$B$6/$B$8,"kept",IF(C48&gt;$B$6/$B$7,"slowed","blended"))</f>
        <v>slowed</v>
      </c>
      <c r="E48" s="31" t="n">
        <f aca="false">IF(C48&lt;$B$6/$B$8,B48,IF(C48&gt;$B$6/$B$7,B48/$B$5,(1-($B$6/C48-$B$7)/($B$8-$B$7))*B48/$B$5+($B$6/C48-$B$7)/($B$8-$B$7)*B48))</f>
        <v>7.78465527393245E-005</v>
      </c>
      <c r="F48" s="20" t="n">
        <f aca="false">2*PI()/E48</f>
        <v>80712.4411561208</v>
      </c>
      <c r="G48" s="24" t="n">
        <f aca="false">MOD($B$9*E48,2*PI())</f>
        <v>1.50146996675286</v>
      </c>
      <c r="H48" s="24" t="n">
        <f aca="false">MOD($B$9*B48,2*PI())</f>
        <v>5.72857442684332</v>
      </c>
    </row>
    <row r="49" customFormat="false" ht="15" hidden="false" customHeight="true" outlineLevel="0" collapsed="false">
      <c r="A49" s="33" t="n">
        <v>37</v>
      </c>
      <c r="B49" s="31" t="n">
        <f aca="false">$B$3^(-2*A49/$B$4)</f>
        <v>0.000507321147662209</v>
      </c>
      <c r="C49" s="20" t="n">
        <f aca="false">2*PI()/B49</f>
        <v>12385.0254146376</v>
      </c>
      <c r="D49" s="11" t="str">
        <f aca="false">IF(C49&lt;$B$6/$B$8,"kept",IF(C49&gt;$B$6/$B$7,"slowed","blended"))</f>
        <v>slowed</v>
      </c>
      <c r="E49" s="31" t="n">
        <f aca="false">IF(C49&lt;$B$6/$B$8,B49,IF(C49&gt;$B$6/$B$7,B49/$B$5,(1-($B$6/C49-$B$7)/($B$8-$B$7))*B49/$B$5+($B$6/C49-$B$7)/($B$8-$B$7)*B49))</f>
        <v>6.34151434577762E-005</v>
      </c>
      <c r="F49" s="20" t="n">
        <f aca="false">2*PI()/E49</f>
        <v>99080.203317101</v>
      </c>
      <c r="G49" s="24" t="n">
        <f aca="false">MOD($B$9*E49,2*PI())</f>
        <v>0.0583290385980284</v>
      </c>
      <c r="H49" s="24" t="n">
        <f aca="false">MOD($B$9*B49,2*PI())</f>
        <v>0.466632308784227</v>
      </c>
    </row>
    <row r="50" customFormat="false" ht="15" hidden="false" customHeight="true" outlineLevel="0" collapsed="false">
      <c r="A50" s="33" t="n">
        <v>38</v>
      </c>
      <c r="B50" s="31" t="n">
        <f aca="false">$B$3^(-2*A50/$B$4)</f>
        <v>0.000413272549985517</v>
      </c>
      <c r="C50" s="20" t="n">
        <f aca="false">2*PI()/B50</f>
        <v>15203.4905473392</v>
      </c>
      <c r="D50" s="11" t="str">
        <f aca="false">IF(C50&lt;$B$6/$B$8,"kept",IF(C50&gt;$B$6/$B$7,"slowed","blended"))</f>
        <v>slowed</v>
      </c>
      <c r="E50" s="31" t="n">
        <f aca="false">IF(C50&lt;$B$6/$B$8,B50,IF(C50&gt;$B$6/$B$7,B50/$B$5,(1-($B$6/C50-$B$7)/($B$8-$B$7))*B50/$B$5+($B$6/C50-$B$7)/($B$8-$B$7)*B50))</f>
        <v>5.16590687481896E-005</v>
      </c>
      <c r="F50" s="20" t="n">
        <f aca="false">2*PI()/E50</f>
        <v>121627.924378714</v>
      </c>
      <c r="G50" s="24" t="n">
        <f aca="false">MOD($B$9*E50,2*PI())</f>
        <v>5.16590687481896</v>
      </c>
      <c r="H50" s="24" t="n">
        <f aca="false">MOD($B$9*B50,2*PI())</f>
        <v>3.62814315547413</v>
      </c>
    </row>
    <row r="51" customFormat="false" ht="15" hidden="false" customHeight="true" outlineLevel="0" collapsed="false">
      <c r="A51" s="33" t="n">
        <v>39</v>
      </c>
      <c r="B51" s="31" t="n">
        <f aca="false">$B$3^(-2*A51/$B$4)</f>
        <v>0.000336658941498042</v>
      </c>
      <c r="C51" s="20" t="n">
        <f aca="false">2*PI()/B51</f>
        <v>18663.3549051782</v>
      </c>
      <c r="D51" s="11" t="str">
        <f aca="false">IF(C51&lt;$B$6/$B$8,"kept",IF(C51&gt;$B$6/$B$7,"slowed","blended"))</f>
        <v>slowed</v>
      </c>
      <c r="E51" s="31" t="n">
        <f aca="false">IF(C51&lt;$B$6/$B$8,B51,IF(C51&gt;$B$6/$B$7,B51/$B$5,(1-($B$6/C51-$B$7)/($B$8-$B$7))*B51/$B$5+($B$6/C51-$B$7)/($B$8-$B$7)*B51))</f>
        <v>4.20823676872553E-005</v>
      </c>
      <c r="F51" s="20" t="n">
        <f aca="false">2*PI()/E51</f>
        <v>149306.839241426</v>
      </c>
      <c r="G51" s="24" t="n">
        <f aca="false">MOD($B$9*E51,2*PI())</f>
        <v>4.20823676872553</v>
      </c>
      <c r="H51" s="24" t="n">
        <f aca="false">MOD($B$9*B51,2*PI())</f>
        <v>2.24996761390627</v>
      </c>
    </row>
    <row r="52" customFormat="false" ht="15" hidden="false" customHeight="true" outlineLevel="0" collapsed="false">
      <c r="A52" s="33" t="n">
        <v>40</v>
      </c>
      <c r="B52" s="31" t="n">
        <f aca="false">$B$3^(-2*A52/$B$4)</f>
        <v>0.000274248175676207</v>
      </c>
      <c r="C52" s="20" t="n">
        <f aca="false">2*PI()/B52</f>
        <v>22910.5819635346</v>
      </c>
      <c r="D52" s="11" t="str">
        <f aca="false">IF(C52&lt;$B$6/$B$8,"kept",IF(C52&gt;$B$6/$B$7,"slowed","blended"))</f>
        <v>slowed</v>
      </c>
      <c r="E52" s="31" t="n">
        <f aca="false">IF(C52&lt;$B$6/$B$8,B52,IF(C52&gt;$B$6/$B$7,B52/$B$5,(1-($B$6/C52-$B$7)/($B$8-$B$7))*B52/$B$5+($B$6/C52-$B$7)/($B$8-$B$7)*B52))</f>
        <v>3.42810219595259E-005</v>
      </c>
      <c r="F52" s="20" t="n">
        <f aca="false">2*PI()/E52</f>
        <v>183284.655708277</v>
      </c>
      <c r="G52" s="24" t="n">
        <f aca="false">MOD($B$9*E52,2*PI())</f>
        <v>3.42810219595259</v>
      </c>
      <c r="H52" s="24" t="n">
        <f aca="false">MOD($B$9*B52,2*PI())</f>
        <v>2.29207633890238</v>
      </c>
    </row>
    <row r="53" customFormat="false" ht="15" hidden="false" customHeight="true" outlineLevel="0" collapsed="false">
      <c r="A53" s="33" t="n">
        <v>41</v>
      </c>
      <c r="B53" s="31" t="n">
        <f aca="false">$B$3^(-2*A53/$B$4)</f>
        <v>0.000223407290259556</v>
      </c>
      <c r="C53" s="20" t="n">
        <f aca="false">2*PI()/B53</f>
        <v>28124.352163619</v>
      </c>
      <c r="D53" s="11" t="str">
        <f aca="false">IF(C53&lt;$B$6/$B$8,"kept",IF(C53&gt;$B$6/$B$7,"slowed","blended"))</f>
        <v>slowed</v>
      </c>
      <c r="E53" s="31" t="n">
        <f aca="false">IF(C53&lt;$B$6/$B$8,B53,IF(C53&gt;$B$6/$B$7,B53/$B$5,(1-($B$6/C53-$B$7)/($B$8-$B$7))*B53/$B$5+($B$6/C53-$B$7)/($B$8-$B$7)*B53))</f>
        <v>2.79259112824445E-005</v>
      </c>
      <c r="F53" s="20" t="n">
        <f aca="false">2*PI()/E53</f>
        <v>224994.817308952</v>
      </c>
      <c r="G53" s="24" t="n">
        <f aca="false">MOD($B$9*E53,2*PI())</f>
        <v>2.79259112824445</v>
      </c>
      <c r="H53" s="24" t="n">
        <f aca="false">MOD($B$9*B53,2*PI())</f>
        <v>3.49117310441682</v>
      </c>
    </row>
    <row r="54" customFormat="false" ht="15" hidden="false" customHeight="true" outlineLevel="0" collapsed="false">
      <c r="A54" s="33" t="n">
        <v>42</v>
      </c>
      <c r="B54" s="31" t="n">
        <f aca="false">$B$3^(-2*A54/$B$4)</f>
        <v>0.000181991428814625</v>
      </c>
      <c r="C54" s="20" t="n">
        <f aca="false">2*PI()/B54</f>
        <v>34524.6221105257</v>
      </c>
      <c r="D54" s="11" t="str">
        <f aca="false">IF(C54&lt;$B$6/$B$8,"kept",IF(C54&gt;$B$6/$B$7,"slowed","blended"))</f>
        <v>slowed</v>
      </c>
      <c r="E54" s="31" t="n">
        <f aca="false">IF(C54&lt;$B$6/$B$8,B54,IF(C54&gt;$B$6/$B$7,B54/$B$5,(1-($B$6/C54-$B$7)/($B$8-$B$7))*B54/$B$5+($B$6/C54-$B$7)/($B$8-$B$7)*B54))</f>
        <v>2.27489286018282E-005</v>
      </c>
      <c r="F54" s="20" t="n">
        <f aca="false">2*PI()/E54</f>
        <v>276196.976884206</v>
      </c>
      <c r="G54" s="24" t="n">
        <f aca="false">MOD($B$9*E54,2*PI())</f>
        <v>2.27489286018282</v>
      </c>
      <c r="H54" s="24" t="n">
        <f aca="false">MOD($B$9*B54,2*PI())</f>
        <v>5.63277226710337</v>
      </c>
    </row>
    <row r="55" customFormat="false" ht="15" hidden="false" customHeight="true" outlineLevel="0" collapsed="false">
      <c r="A55" s="33" t="n">
        <v>43</v>
      </c>
      <c r="B55" s="31" t="n">
        <f aca="false">$B$3^(-2*A55/$B$4)</f>
        <v>0.00014825335432657</v>
      </c>
      <c r="C55" s="20" t="n">
        <f aca="false">2*PI()/B55</f>
        <v>42381.404020978</v>
      </c>
      <c r="D55" s="11" t="str">
        <f aca="false">IF(C55&lt;$B$6/$B$8,"kept",IF(C55&gt;$B$6/$B$7,"slowed","blended"))</f>
        <v>slowed</v>
      </c>
      <c r="E55" s="31" t="n">
        <f aca="false">IF(C55&lt;$B$6/$B$8,B55,IF(C55&gt;$B$6/$B$7,B55/$B$5,(1-($B$6/C55-$B$7)/($B$8-$B$7))*B55/$B$5+($B$6/C55-$B$7)/($B$8-$B$7)*B55))</f>
        <v>1.85316692908213E-005</v>
      </c>
      <c r="F55" s="20" t="n">
        <f aca="false">2*PI()/E55</f>
        <v>339051.232167824</v>
      </c>
      <c r="G55" s="24" t="n">
        <f aca="false">MOD($B$9*E55,2*PI())</f>
        <v>1.85316692908213</v>
      </c>
      <c r="H55" s="24" t="n">
        <f aca="false">MOD($B$9*B55,2*PI())</f>
        <v>2.25896481829787</v>
      </c>
    </row>
    <row r="56" customFormat="false" ht="15" hidden="false" customHeight="true" outlineLevel="0" collapsed="false">
      <c r="A56" s="33" t="n">
        <v>44</v>
      </c>
      <c r="B56" s="31" t="n">
        <f aca="false">$B$3^(-2*A56/$B$4)</f>
        <v>0.000120769737411465</v>
      </c>
      <c r="C56" s="20" t="n">
        <f aca="false">2*PI()/B56</f>
        <v>52026.1568986661</v>
      </c>
      <c r="D56" s="11" t="str">
        <f aca="false">IF(C56&lt;$B$6/$B$8,"kept",IF(C56&gt;$B$6/$B$7,"slowed","blended"))</f>
        <v>slowed</v>
      </c>
      <c r="E56" s="31" t="n">
        <f aca="false">IF(C56&lt;$B$6/$B$8,B56,IF(C56&gt;$B$6/$B$7,B56/$B$5,(1-($B$6/C56-$B$7)/($B$8-$B$7))*B56/$B$5+($B$6/C56-$B$7)/($B$8-$B$7)*B56))</f>
        <v>1.50962171764331E-005</v>
      </c>
      <c r="F56" s="20" t="n">
        <f aca="false">2*PI()/E56</f>
        <v>416209.255189329</v>
      </c>
      <c r="G56" s="24" t="n">
        <f aca="false">MOD($B$9*E56,2*PI())</f>
        <v>1.50962171764331</v>
      </c>
      <c r="H56" s="24" t="n">
        <f aca="false">MOD($B$9*B56,2*PI())</f>
        <v>5.79378843396692</v>
      </c>
    </row>
    <row r="57" customFormat="false" ht="15" hidden="false" customHeight="true" outlineLevel="0" collapsed="false">
      <c r="A57" s="33" t="n">
        <v>45</v>
      </c>
      <c r="B57" s="31" t="n">
        <f aca="false">$B$3^(-2*A57/$B$4)</f>
        <v>9.83811094237089E-005</v>
      </c>
      <c r="C57" s="20" t="n">
        <f aca="false">2*PI()/B57</f>
        <v>63865.7700038642</v>
      </c>
      <c r="D57" s="11" t="str">
        <f aca="false">IF(C57&lt;$B$6/$B$8,"kept",IF(C57&gt;$B$6/$B$7,"slowed","blended"))</f>
        <v>slowed</v>
      </c>
      <c r="E57" s="31" t="n">
        <f aca="false">IF(C57&lt;$B$6/$B$8,B57,IF(C57&gt;$B$6/$B$7,B57/$B$5,(1-($B$6/C57-$B$7)/($B$8-$B$7))*B57/$B$5+($B$6/C57-$B$7)/($B$8-$B$7)*B57))</f>
        <v>1.22976386779636E-005</v>
      </c>
      <c r="F57" s="20" t="n">
        <f aca="false">2*PI()/E57</f>
        <v>510926.160030913</v>
      </c>
      <c r="G57" s="24" t="n">
        <f aca="false">MOD($B$9*E57,2*PI())</f>
        <v>1.22976386779636</v>
      </c>
      <c r="H57" s="24" t="n">
        <f aca="false">MOD($B$9*B57,2*PI())</f>
        <v>3.55492563519131</v>
      </c>
    </row>
    <row r="58" customFormat="false" ht="15" hidden="false" customHeight="true" outlineLevel="0" collapsed="false">
      <c r="A58" s="33" t="n">
        <v>46</v>
      </c>
      <c r="B58" s="31" t="n">
        <f aca="false">$B$3^(-2*A58/$B$4)</f>
        <v>8.01429472224798E-005</v>
      </c>
      <c r="C58" s="20" t="n">
        <f aca="false">2*PI()/B58</f>
        <v>78399.7285467582</v>
      </c>
      <c r="D58" s="11" t="str">
        <f aca="false">IF(C58&lt;$B$6/$B$8,"kept",IF(C58&gt;$B$6/$B$7,"slowed","blended"))</f>
        <v>slowed</v>
      </c>
      <c r="E58" s="31" t="n">
        <f aca="false">IF(C58&lt;$B$6/$B$8,B58,IF(C58&gt;$B$6/$B$7,B58/$B$5,(1-($B$6/C58-$B$7)/($B$8-$B$7))*B58/$B$5+($B$6/C58-$B$7)/($B$8-$B$7)*B58))</f>
        <v>1.001786840281E-005</v>
      </c>
      <c r="F58" s="20" t="n">
        <f aca="false">2*PI()/E58</f>
        <v>627197.828374066</v>
      </c>
      <c r="G58" s="24" t="n">
        <f aca="false">MOD($B$9*E58,2*PI())</f>
        <v>1.001786840281</v>
      </c>
      <c r="H58" s="24" t="n">
        <f aca="false">MOD($B$9*B58,2*PI())</f>
        <v>1.73110941506839</v>
      </c>
    </row>
    <row r="59" customFormat="false" ht="15" hidden="false" customHeight="true" outlineLevel="0" collapsed="false">
      <c r="A59" s="33" t="n">
        <v>47</v>
      </c>
      <c r="B59" s="31" t="n">
        <f aca="false">$B$3^(-2*A59/$B$4)</f>
        <v>6.52858259794876E-005</v>
      </c>
      <c r="C59" s="20" t="n">
        <f aca="false">2*PI()/B59</f>
        <v>96241.1857843957</v>
      </c>
      <c r="D59" s="11" t="str">
        <f aca="false">IF(C59&lt;$B$6/$B$8,"kept",IF(C59&gt;$B$6/$B$7,"slowed","blended"))</f>
        <v>slowed</v>
      </c>
      <c r="E59" s="31" t="n">
        <f aca="false">IF(C59&lt;$B$6/$B$8,B59,IF(C59&gt;$B$6/$B$7,B59/$B$5,(1-($B$6/C59-$B$7)/($B$8-$B$7))*B59/$B$5+($B$6/C59-$B$7)/($B$8-$B$7)*B59))</f>
        <v>8.16072824743594E-006</v>
      </c>
      <c r="F59" s="20" t="n">
        <f aca="false">2*PI()/E59</f>
        <v>769929.486275165</v>
      </c>
      <c r="G59" s="24" t="n">
        <f aca="false">MOD($B$9*E59,2*PI())</f>
        <v>0.816072824743594</v>
      </c>
      <c r="H59" s="24" t="n">
        <f aca="false">MOD($B$9*B59,2*PI())</f>
        <v>0.245397290769168</v>
      </c>
    </row>
    <row r="60" customFormat="false" ht="15" hidden="false" customHeight="true" outlineLevel="0" collapsed="false">
      <c r="A60" s="33" t="n">
        <v>48</v>
      </c>
      <c r="B60" s="31" t="n">
        <f aca="false">$B$3^(-2*A60/$B$4)</f>
        <v>5.31829589694499E-005</v>
      </c>
      <c r="C60" s="20" t="n">
        <f aca="false">2*PI()/B60</f>
        <v>118142.830503073</v>
      </c>
      <c r="D60" s="11" t="str">
        <f aca="false">IF(C60&lt;$B$6/$B$8,"kept",IF(C60&gt;$B$6/$B$7,"slowed","blended"))</f>
        <v>slowed</v>
      </c>
      <c r="E60" s="31" t="n">
        <f aca="false">IF(C60&lt;$B$6/$B$8,B60,IF(C60&gt;$B$6/$B$7,B60/$B$5,(1-($B$6/C60-$B$7)/($B$8-$B$7))*B60/$B$5+($B$6/C60-$B$7)/($B$8-$B$7)*B60))</f>
        <v>6.64786987118124E-006</v>
      </c>
      <c r="F60" s="20" t="n">
        <f aca="false">2*PI()/E60</f>
        <v>945142.644024581</v>
      </c>
      <c r="G60" s="24" t="n">
        <f aca="false">MOD($B$9*E60,2*PI())</f>
        <v>0.664786987118124</v>
      </c>
      <c r="H60" s="24" t="n">
        <f aca="false">MOD($B$9*B60,2*PI())</f>
        <v>5.31829589694499</v>
      </c>
    </row>
    <row r="61" customFormat="false" ht="15" hidden="false" customHeight="true" outlineLevel="0" collapsed="false">
      <c r="A61" s="33" t="n">
        <v>49</v>
      </c>
      <c r="B61" s="31" t="n">
        <f aca="false">$B$3^(-2*A61/$B$4)</f>
        <v>4.33237549239994E-005</v>
      </c>
      <c r="C61" s="20" t="n">
        <f aca="false">2*PI()/B61</f>
        <v>145028.641173921</v>
      </c>
      <c r="D61" s="11" t="str">
        <f aca="false">IF(C61&lt;$B$6/$B$8,"kept",IF(C61&gt;$B$6/$B$7,"slowed","blended"))</f>
        <v>slowed</v>
      </c>
      <c r="E61" s="31" t="n">
        <f aca="false">IF(C61&lt;$B$6/$B$8,B61,IF(C61&gt;$B$6/$B$7,B61/$B$5,(1-($B$6/C61-$B$7)/($B$8-$B$7))*B61/$B$5+($B$6/C61-$B$7)/($B$8-$B$7)*B61))</f>
        <v>5.41546936549992E-006</v>
      </c>
      <c r="F61" s="20" t="n">
        <f aca="false">2*PI()/E61</f>
        <v>1160229.12939137</v>
      </c>
      <c r="G61" s="24" t="n">
        <f aca="false">MOD($B$9*E61,2*PI())</f>
        <v>0.541546936549992</v>
      </c>
      <c r="H61" s="24" t="n">
        <f aca="false">MOD($B$9*B61,2*PI())</f>
        <v>4.33237549239994</v>
      </c>
    </row>
    <row r="62" customFormat="false" ht="15" hidden="false" customHeight="true" outlineLevel="0" collapsed="false">
      <c r="A62" s="33" t="n">
        <v>50</v>
      </c>
      <c r="B62" s="31" t="n">
        <f aca="false">$B$3^(-2*A62/$B$4)</f>
        <v>3.52922773964672E-005</v>
      </c>
      <c r="C62" s="20" t="n">
        <f aca="false">2*PI()/B62</f>
        <v>178032.866414241</v>
      </c>
      <c r="D62" s="11" t="str">
        <f aca="false">IF(C62&lt;$B$6/$B$8,"kept",IF(C62&gt;$B$6/$B$7,"slowed","blended"))</f>
        <v>slowed</v>
      </c>
      <c r="E62" s="31" t="n">
        <f aca="false">IF(C62&lt;$B$6/$B$8,B62,IF(C62&gt;$B$6/$B$7,B62/$B$5,(1-($B$6/C62-$B$7)/($B$8-$B$7))*B62/$B$5+($B$6/C62-$B$7)/($B$8-$B$7)*B62))</f>
        <v>4.4115346745584E-006</v>
      </c>
      <c r="F62" s="20" t="n">
        <f aca="false">2*PI()/E62</f>
        <v>1424262.93131393</v>
      </c>
      <c r="G62" s="24" t="n">
        <f aca="false">MOD($B$9*E62,2*PI())</f>
        <v>0.44115346745584</v>
      </c>
      <c r="H62" s="24" t="n">
        <f aca="false">MOD($B$9*B62,2*PI())</f>
        <v>3.52922773964672</v>
      </c>
    </row>
    <row r="63" customFormat="false" ht="15" hidden="false" customHeight="true" outlineLevel="0" collapsed="false">
      <c r="A63" s="33" t="n">
        <v>51</v>
      </c>
      <c r="B63" s="31" t="n">
        <f aca="false">$B$3^(-2*A63/$B$4)</f>
        <v>2.8749697389208E-005</v>
      </c>
      <c r="C63" s="20" t="n">
        <f aca="false">2*PI()/B63</f>
        <v>218547.876247844</v>
      </c>
      <c r="D63" s="11" t="str">
        <f aca="false">IF(C63&lt;$B$6/$B$8,"kept",IF(C63&gt;$B$6/$B$7,"slowed","blended"))</f>
        <v>slowed</v>
      </c>
      <c r="E63" s="31" t="n">
        <f aca="false">IF(C63&lt;$B$6/$B$8,B63,IF(C63&gt;$B$6/$B$7,B63/$B$5,(1-($B$6/C63-$B$7)/($B$8-$B$7))*B63/$B$5+($B$6/C63-$B$7)/($B$8-$B$7)*B63))</f>
        <v>3.593712173651E-006</v>
      </c>
      <c r="F63" s="20" t="n">
        <f aca="false">2*PI()/E63</f>
        <v>1748383.00998275</v>
      </c>
      <c r="G63" s="24" t="n">
        <f aca="false">MOD($B$9*E63,2*PI())</f>
        <v>0.3593712173651</v>
      </c>
      <c r="H63" s="24" t="n">
        <f aca="false">MOD($B$9*B63,2*PI())</f>
        <v>2.8749697389208</v>
      </c>
    </row>
    <row r="64" customFormat="false" ht="15" hidden="false" customHeight="true" outlineLevel="0" collapsed="false">
      <c r="A64" s="33" t="n">
        <v>52</v>
      </c>
      <c r="B64" s="31" t="n">
        <f aca="false">$B$3^(-2*A64/$B$4)</f>
        <v>2.34199989614093E-005</v>
      </c>
      <c r="C64" s="20" t="n">
        <f aca="false">2*PI()/B64</f>
        <v>268282.902895632</v>
      </c>
      <c r="D64" s="11" t="str">
        <f aca="false">IF(C64&lt;$B$6/$B$8,"kept",IF(C64&gt;$B$6/$B$7,"slowed","blended"))</f>
        <v>slowed</v>
      </c>
      <c r="E64" s="31" t="n">
        <f aca="false">IF(C64&lt;$B$6/$B$8,B64,IF(C64&gt;$B$6/$B$7,B64/$B$5,(1-($B$6/C64-$B$7)/($B$8-$B$7))*B64/$B$5+($B$6/C64-$B$7)/($B$8-$B$7)*B64))</f>
        <v>2.92749987017617E-006</v>
      </c>
      <c r="F64" s="20" t="n">
        <f aca="false">2*PI()/E64</f>
        <v>2146263.22316506</v>
      </c>
      <c r="G64" s="24" t="n">
        <f aca="false">MOD($B$9*E64,2*PI())</f>
        <v>0.292749987017617</v>
      </c>
      <c r="H64" s="24" t="n">
        <f aca="false">MOD($B$9*B64,2*PI())</f>
        <v>2.34199989614093</v>
      </c>
    </row>
    <row r="65" customFormat="false" ht="15" hidden="false" customHeight="true" outlineLevel="0" collapsed="false">
      <c r="A65" s="33" t="n">
        <v>53</v>
      </c>
      <c r="B65" s="31" t="n">
        <f aca="false">$B$3^(-2*A65/$B$4)</f>
        <v>1.90783347708664E-005</v>
      </c>
      <c r="C65" s="20" t="n">
        <f aca="false">2*PI()/B65</f>
        <v>329336.149231133</v>
      </c>
      <c r="D65" s="11" t="str">
        <f aca="false">IF(C65&lt;$B$6/$B$8,"kept",IF(C65&gt;$B$6/$B$7,"slowed","blended"))</f>
        <v>slowed</v>
      </c>
      <c r="E65" s="31" t="n">
        <f aca="false">IF(C65&lt;$B$6/$B$8,B65,IF(C65&gt;$B$6/$B$7,B65/$B$5,(1-($B$6/C65-$B$7)/($B$8-$B$7))*B65/$B$5+($B$6/C65-$B$7)/($B$8-$B$7)*B65))</f>
        <v>2.3847918463583E-006</v>
      </c>
      <c r="F65" s="20" t="n">
        <f aca="false">2*PI()/E65</f>
        <v>2634689.19384907</v>
      </c>
      <c r="G65" s="24" t="n">
        <f aca="false">MOD($B$9*E65,2*PI())</f>
        <v>0.23847918463583</v>
      </c>
      <c r="H65" s="24" t="n">
        <f aca="false">MOD($B$9*B65,2*PI())</f>
        <v>1.90783347708664</v>
      </c>
    </row>
    <row r="66" customFormat="false" ht="15" hidden="false" customHeight="true" outlineLevel="0" collapsed="false">
      <c r="A66" s="33" t="n">
        <v>54</v>
      </c>
      <c r="B66" s="31" t="n">
        <f aca="false">$B$3^(-2*A66/$B$4)</f>
        <v>1.55415402976323E-005</v>
      </c>
      <c r="C66" s="20" t="n">
        <f aca="false">2*PI()/B66</f>
        <v>404283.306985781</v>
      </c>
      <c r="D66" s="11" t="str">
        <f aca="false">IF(C66&lt;$B$6/$B$8,"kept",IF(C66&gt;$B$6/$B$7,"slowed","blended"))</f>
        <v>slowed</v>
      </c>
      <c r="E66" s="31" t="n">
        <f aca="false">IF(C66&lt;$B$6/$B$8,B66,IF(C66&gt;$B$6/$B$7,B66/$B$5,(1-($B$6/C66-$B$7)/($B$8-$B$7))*B66/$B$5+($B$6/C66-$B$7)/($B$8-$B$7)*B66))</f>
        <v>1.94269253720404E-006</v>
      </c>
      <c r="F66" s="20" t="n">
        <f aca="false">2*PI()/E66</f>
        <v>3234266.45588625</v>
      </c>
      <c r="G66" s="24" t="n">
        <f aca="false">MOD($B$9*E66,2*PI())</f>
        <v>0.194269253720404</v>
      </c>
      <c r="H66" s="24" t="n">
        <f aca="false">MOD($B$9*B66,2*PI())</f>
        <v>1.55415402976323</v>
      </c>
    </row>
    <row r="67" customFormat="false" ht="15" hidden="false" customHeight="true" outlineLevel="0" collapsed="false">
      <c r="A67" s="33" t="n">
        <v>55</v>
      </c>
      <c r="B67" s="31" t="n">
        <f aca="false">$B$3^(-2*A67/$B$4)</f>
        <v>1.26604065671273E-005</v>
      </c>
      <c r="C67" s="20" t="n">
        <f aca="false">2*PI()/B67</f>
        <v>496286.219077187</v>
      </c>
      <c r="D67" s="11" t="str">
        <f aca="false">IF(C67&lt;$B$6/$B$8,"kept",IF(C67&gt;$B$6/$B$7,"slowed","blended"))</f>
        <v>slowed</v>
      </c>
      <c r="E67" s="31" t="n">
        <f aca="false">IF(C67&lt;$B$6/$B$8,B67,IF(C67&gt;$B$6/$B$7,B67/$B$5,(1-($B$6/C67-$B$7)/($B$8-$B$7))*B67/$B$5+($B$6/C67-$B$7)/($B$8-$B$7)*B67))</f>
        <v>1.58255082089091E-006</v>
      </c>
      <c r="F67" s="20" t="n">
        <f aca="false">2*PI()/E67</f>
        <v>3970289.7526175</v>
      </c>
      <c r="G67" s="24" t="n">
        <f aca="false">MOD($B$9*E67,2*PI())</f>
        <v>0.158255082089091</v>
      </c>
      <c r="H67" s="24" t="n">
        <f aca="false">MOD($B$9*B67,2*PI())</f>
        <v>1.26604065671273</v>
      </c>
    </row>
    <row r="68" customFormat="false" ht="15" hidden="false" customHeight="true" outlineLevel="0" collapsed="false">
      <c r="A68" s="33" t="n">
        <v>56</v>
      </c>
      <c r="B68" s="31" t="n">
        <f aca="false">$B$3^(-2*A68/$B$4)</f>
        <v>1.03133853772125E-005</v>
      </c>
      <c r="C68" s="20" t="n">
        <f aca="false">2*PI()/B68</f>
        <v>609226.27026644</v>
      </c>
      <c r="D68" s="11" t="str">
        <f aca="false">IF(C68&lt;$B$6/$B$8,"kept",IF(C68&gt;$B$6/$B$7,"slowed","blended"))</f>
        <v>slowed</v>
      </c>
      <c r="E68" s="31" t="n">
        <f aca="false">IF(C68&lt;$B$6/$B$8,B68,IF(C68&gt;$B$6/$B$7,B68/$B$5,(1-($B$6/C68-$B$7)/($B$8-$B$7))*B68/$B$5+($B$6/C68-$B$7)/($B$8-$B$7)*B68))</f>
        <v>1.28917317215156E-006</v>
      </c>
      <c r="F68" s="20" t="n">
        <f aca="false">2*PI()/E68</f>
        <v>4873810.16213152</v>
      </c>
      <c r="G68" s="24" t="n">
        <f aca="false">MOD($B$9*E68,2*PI())</f>
        <v>0.128917317215156</v>
      </c>
      <c r="H68" s="24" t="n">
        <f aca="false">MOD($B$9*B68,2*PI())</f>
        <v>1.03133853772125</v>
      </c>
    </row>
    <row r="69" customFormat="false" ht="15" hidden="false" customHeight="true" outlineLevel="0" collapsed="false">
      <c r="A69" s="33" t="n">
        <v>57</v>
      </c>
      <c r="B69" s="31" t="n">
        <f aca="false">$B$3^(-2*A69/$B$4)</f>
        <v>8.40146146768135E-006</v>
      </c>
      <c r="C69" s="20" t="n">
        <f aca="false">2*PI()/B69</f>
        <v>747868.133580053</v>
      </c>
      <c r="D69" s="11" t="str">
        <f aca="false">IF(C69&lt;$B$6/$B$8,"kept",IF(C69&gt;$B$6/$B$7,"slowed","blended"))</f>
        <v>slowed</v>
      </c>
      <c r="E69" s="31" t="n">
        <f aca="false">IF(C69&lt;$B$6/$B$8,B69,IF(C69&gt;$B$6/$B$7,B69/$B$5,(1-($B$6/C69-$B$7)/($B$8-$B$7))*B69/$B$5+($B$6/C69-$B$7)/($B$8-$B$7)*B69))</f>
        <v>1.05018268346017E-006</v>
      </c>
      <c r="F69" s="20" t="n">
        <f aca="false">2*PI()/E69</f>
        <v>5982945.06864043</v>
      </c>
      <c r="G69" s="24" t="n">
        <f aca="false">MOD($B$9*E69,2*PI())</f>
        <v>0.105018268346017</v>
      </c>
      <c r="H69" s="24" t="n">
        <f aca="false">MOD($B$9*B69,2*PI())</f>
        <v>0.840146146768135</v>
      </c>
    </row>
    <row r="70" customFormat="false" ht="15" hidden="false" customHeight="true" outlineLevel="0" collapsed="false">
      <c r="A70" s="33" t="n">
        <v>58</v>
      </c>
      <c r="B70" s="31" t="n">
        <f aca="false">$B$3^(-2*A70/$B$4)</f>
        <v>6.84397530115493E-006</v>
      </c>
      <c r="C70" s="20" t="n">
        <f aca="false">2*PI()/B70</f>
        <v>918060.780569926</v>
      </c>
      <c r="D70" s="11" t="str">
        <f aca="false">IF(C70&lt;$B$6/$B$8,"kept",IF(C70&gt;$B$6/$B$7,"slowed","blended"))</f>
        <v>slowed</v>
      </c>
      <c r="E70" s="31" t="n">
        <f aca="false">IF(C70&lt;$B$6/$B$8,B70,IF(C70&gt;$B$6/$B$7,B70/$B$5,(1-($B$6/C70-$B$7)/($B$8-$B$7))*B70/$B$5+($B$6/C70-$B$7)/($B$8-$B$7)*B70))</f>
        <v>8.55496912644366E-007</v>
      </c>
      <c r="F70" s="20" t="n">
        <f aca="false">2*PI()/E70</f>
        <v>7344486.24455941</v>
      </c>
      <c r="G70" s="24" t="n">
        <f aca="false">MOD($B$9*E70,2*PI())</f>
        <v>0.0855496912644366</v>
      </c>
      <c r="H70" s="24" t="n">
        <f aca="false">MOD($B$9*B70,2*PI())</f>
        <v>0.684397530115493</v>
      </c>
    </row>
    <row r="71" customFormat="false" ht="15" hidden="false" customHeight="true" outlineLevel="0" collapsed="false">
      <c r="A71" s="33" t="n">
        <v>59</v>
      </c>
      <c r="B71" s="31" t="n">
        <f aca="false">$B$3^(-2*A71/$B$4)</f>
        <v>5.57522022840934E-006</v>
      </c>
      <c r="C71" s="20" t="n">
        <f aca="false">2*PI()/B71</f>
        <v>1126984.23555768</v>
      </c>
      <c r="D71" s="11" t="str">
        <f aca="false">IF(C71&lt;$B$6/$B$8,"kept",IF(C71&gt;$B$6/$B$7,"slowed","blended"))</f>
        <v>slowed</v>
      </c>
      <c r="E71" s="31" t="n">
        <f aca="false">IF(C71&lt;$B$6/$B$8,B71,IF(C71&gt;$B$6/$B$7,B71/$B$5,(1-($B$6/C71-$B$7)/($B$8-$B$7))*B71/$B$5+($B$6/C71-$B$7)/($B$8-$B$7)*B71))</f>
        <v>6.96902528551167E-007</v>
      </c>
      <c r="F71" s="20" t="n">
        <f aca="false">2*PI()/E71</f>
        <v>9015873.8844614</v>
      </c>
      <c r="G71" s="24" t="n">
        <f aca="false">MOD($B$9*E71,2*PI())</f>
        <v>0.0696902528551167</v>
      </c>
      <c r="H71" s="24" t="n">
        <f aca="false">MOD($B$9*B71,2*PI())</f>
        <v>0.557522022840934</v>
      </c>
    </row>
    <row r="72" customFormat="false" ht="15" hidden="false" customHeight="true" outlineLevel="0" collapsed="false">
      <c r="A72" s="33" t="n">
        <v>60</v>
      </c>
      <c r="B72" s="31" t="n">
        <f aca="false">$B$3^(-2*A72/$B$4)</f>
        <v>4.54167048060787E-006</v>
      </c>
      <c r="C72" s="20" t="n">
        <f aca="false">2*PI()/B72</f>
        <v>1383452.48383996</v>
      </c>
      <c r="D72" s="11" t="str">
        <f aca="false">IF(C72&lt;$B$6/$B$8,"kept",IF(C72&gt;$B$6/$B$7,"slowed","blended"))</f>
        <v>slowed</v>
      </c>
      <c r="E72" s="31" t="n">
        <f aca="false">IF(C72&lt;$B$6/$B$8,B72,IF(C72&gt;$B$6/$B$7,B72/$B$5,(1-($B$6/C72-$B$7)/($B$8-$B$7))*B72/$B$5+($B$6/C72-$B$7)/($B$8-$B$7)*B72))</f>
        <v>5.67708810075984E-007</v>
      </c>
      <c r="F72" s="20" t="n">
        <f aca="false">2*PI()/E72</f>
        <v>11067619.8707197</v>
      </c>
      <c r="G72" s="24" t="n">
        <f aca="false">MOD($B$9*E72,2*PI())</f>
        <v>0.0567708810075984</v>
      </c>
      <c r="H72" s="24" t="n">
        <f aca="false">MOD($B$9*B72,2*PI())</f>
        <v>0.454167048060787</v>
      </c>
    </row>
    <row r="73" customFormat="false" ht="15" hidden="false" customHeight="true" outlineLevel="0" collapsed="false">
      <c r="A73" s="33" t="n">
        <v>61</v>
      </c>
      <c r="B73" s="31" t="n">
        <f aca="false">$B$3^(-2*A73/$B$4)</f>
        <v>3.69972304400071E-006</v>
      </c>
      <c r="C73" s="20" t="n">
        <f aca="false">2*PI()/B73</f>
        <v>1698285.31283392</v>
      </c>
      <c r="D73" s="11" t="str">
        <f aca="false">IF(C73&lt;$B$6/$B$8,"kept",IF(C73&gt;$B$6/$B$7,"slowed","blended"))</f>
        <v>slowed</v>
      </c>
      <c r="E73" s="31" t="n">
        <f aca="false">IF(C73&lt;$B$6/$B$8,B73,IF(C73&gt;$B$6/$B$7,B73/$B$5,(1-($B$6/C73-$B$7)/($B$8-$B$7))*B73/$B$5+($B$6/C73-$B$7)/($B$8-$B$7)*B73))</f>
        <v>4.62465380500088E-007</v>
      </c>
      <c r="F73" s="20" t="n">
        <f aca="false">2*PI()/E73</f>
        <v>13586282.5026713</v>
      </c>
      <c r="G73" s="24" t="n">
        <f aca="false">MOD($B$9*E73,2*PI())</f>
        <v>0.0462465380500088</v>
      </c>
      <c r="H73" s="24" t="n">
        <f aca="false">MOD($B$9*B73,2*PI())</f>
        <v>0.369972304400071</v>
      </c>
    </row>
    <row r="74" customFormat="false" ht="15" hidden="false" customHeight="true" outlineLevel="0" collapsed="false">
      <c r="A74" s="33" t="n">
        <v>62</v>
      </c>
      <c r="B74" s="31" t="n">
        <f aca="false">$B$3^(-2*A74/$B$4)</f>
        <v>3.01385815213917E-006</v>
      </c>
      <c r="C74" s="20" t="n">
        <f aca="false">2*PI()/B74</f>
        <v>2084764.77325913</v>
      </c>
      <c r="D74" s="11" t="str">
        <f aca="false">IF(C74&lt;$B$6/$B$8,"kept",IF(C74&gt;$B$6/$B$7,"slowed","blended"))</f>
        <v>slowed</v>
      </c>
      <c r="E74" s="31" t="n">
        <f aca="false">IF(C74&lt;$B$6/$B$8,B74,IF(C74&gt;$B$6/$B$7,B74/$B$5,(1-($B$6/C74-$B$7)/($B$8-$B$7))*B74/$B$5+($B$6/C74-$B$7)/($B$8-$B$7)*B74))</f>
        <v>3.76732269017396E-007</v>
      </c>
      <c r="F74" s="20" t="n">
        <f aca="false">2*PI()/E74</f>
        <v>16678118.186073</v>
      </c>
      <c r="G74" s="24" t="n">
        <f aca="false">MOD($B$9*E74,2*PI())</f>
        <v>0.0376732269017396</v>
      </c>
      <c r="H74" s="24" t="n">
        <f aca="false">MOD($B$9*B74,2*PI())</f>
        <v>0.301385815213917</v>
      </c>
    </row>
    <row r="75" customFormat="false" ht="15" hidden="false" customHeight="true" outlineLevel="0" collapsed="false">
      <c r="A75" s="33" t="n">
        <v>63</v>
      </c>
      <c r="B75" s="31" t="n">
        <f aca="false">$B$3^(-2*A75/$B$4)</f>
        <v>2.45514079113161E-006</v>
      </c>
      <c r="C75" s="20" t="n">
        <f aca="false">2*PI()/B75</f>
        <v>2559195.51737136</v>
      </c>
      <c r="D75" s="11" t="str">
        <f aca="false">IF(C75&lt;$B$6/$B$8,"kept",IF(C75&gt;$B$6/$B$7,"slowed","blended"))</f>
        <v>slowed</v>
      </c>
      <c r="E75" s="31" t="n">
        <f aca="false">IF(C75&lt;$B$6/$B$8,B75,IF(C75&gt;$B$6/$B$7,B75/$B$5,(1-($B$6/C75-$B$7)/($B$8-$B$7))*B75/$B$5+($B$6/C75-$B$7)/($B$8-$B$7)*B75))</f>
        <v>3.06892598891451E-007</v>
      </c>
      <c r="F75" s="20" t="n">
        <f aca="false">2*PI()/E75</f>
        <v>20473564.1389709</v>
      </c>
      <c r="G75" s="24" t="n">
        <f aca="false">MOD($B$9*E75,2*PI())</f>
        <v>0.0306892598891451</v>
      </c>
      <c r="H75" s="24" t="n">
        <f aca="false">MOD($B$9*B75,2*PI())</f>
        <v>0.245514079113161</v>
      </c>
    </row>
    <row r="77" customFormat="false" ht="15" hidden="false" customHeight="true" outlineLevel="0" collapsed="false">
      <c r="A77" s="21" t="s">
        <v>156</v>
      </c>
    </row>
    <row r="78" customFormat="false" ht="15" hidden="false" customHeight="true" outlineLevel="0" collapsed="false">
      <c r="A78" s="21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0"/>
    <col collapsed="false" customWidth="true" hidden="false" outlineLevel="0" max="4" min="4" style="1" width="8"/>
    <col collapsed="false" customWidth="true" hidden="false" outlineLevel="0" max="6" min="5" style="1" width="15"/>
    <col collapsed="false" customWidth="true" hidden="false" outlineLevel="0" max="7" min="7" style="1" width="13"/>
    <col collapsed="false" customWidth="true" hidden="false" outlineLevel="0" max="8" min="8" style="1" width="22"/>
  </cols>
  <sheetData>
    <row r="1" customFormat="false" ht="15.75" hidden="false" customHeight="true" outlineLevel="0" collapsed="false">
      <c r="A1" s="10" t="s">
        <v>158</v>
      </c>
    </row>
    <row r="3" customFormat="false" ht="15" hidden="false" customHeight="true" outlineLevel="0" collapsed="false">
      <c r="A3" s="11" t="s">
        <v>159</v>
      </c>
      <c r="B3" s="27" t="n">
        <v>2</v>
      </c>
    </row>
    <row r="5" customFormat="false" ht="36" hidden="false" customHeight="true" outlineLevel="0" collapsed="false">
      <c r="A5" s="13" t="s">
        <v>160</v>
      </c>
      <c r="B5" s="13" t="s">
        <v>161</v>
      </c>
      <c r="C5" s="13" t="s">
        <v>162</v>
      </c>
      <c r="D5" s="13" t="s">
        <v>163</v>
      </c>
      <c r="E5" s="13" t="s">
        <v>164</v>
      </c>
      <c r="F5" s="13" t="s">
        <v>165</v>
      </c>
      <c r="G5" s="13" t="s">
        <v>166</v>
      </c>
      <c r="H5" s="13" t="s">
        <v>167</v>
      </c>
    </row>
    <row r="6" customFormat="false" ht="15" hidden="false" customHeight="true" outlineLevel="0" collapsed="false">
      <c r="A6" s="33" t="n">
        <v>1</v>
      </c>
      <c r="B6" s="26" t="n">
        <v>2</v>
      </c>
      <c r="C6" s="26" t="n">
        <v>1</v>
      </c>
      <c r="D6" s="33" t="n">
        <f aca="false">INT((A6-1)/$B$3)+1</f>
        <v>1</v>
      </c>
      <c r="E6" s="24" t="n">
        <f aca="true">MAX(OFFSET($B$6,(D6-1)*$B$3,0,MIN($B$3,COUNT($A$6:$A$13)-(D6-1)*$B$3),1))</f>
        <v>2</v>
      </c>
      <c r="F6" s="24"/>
      <c r="G6" s="24" t="n">
        <f aca="false">EXP(B6-E6)</f>
        <v>1</v>
      </c>
      <c r="H6" s="24" t="n">
        <f aca="false">EXP(B6-E6)*C6</f>
        <v>1</v>
      </c>
    </row>
    <row r="7" customFormat="false" ht="15" hidden="false" customHeight="true" outlineLevel="0" collapsed="false">
      <c r="A7" s="33" t="n">
        <v>2</v>
      </c>
      <c r="B7" s="26" t="n">
        <v>1</v>
      </c>
      <c r="C7" s="26" t="n">
        <v>2</v>
      </c>
      <c r="D7" s="33" t="n">
        <f aca="false">INT((A7-1)/$B$3)+1</f>
        <v>1</v>
      </c>
      <c r="E7" s="24" t="n">
        <f aca="true">IF(D7=D6,E6,MAX(E6,MAX(OFFSET($B$6,(D7-1)*$B$3,0,MIN($B$3,COUNT($A$6:$A$13)-(D7-1)*$B$3),1))))</f>
        <v>2</v>
      </c>
      <c r="F7" s="24" t="str">
        <f aca="false">IF(D7=D6,"",EXP(E6-E7))</f>
        <v/>
      </c>
      <c r="G7" s="24" t="n">
        <f aca="false">IF(D7=D6,G6,G6*F7)+EXP(B7-E7)</f>
        <v>1.36787944117144</v>
      </c>
      <c r="H7" s="24" t="n">
        <f aca="false">IF(D7=D6,H6,H6*F7)+EXP(B7-E7)*C7</f>
        <v>1.73575888234288</v>
      </c>
    </row>
    <row r="8" customFormat="false" ht="15" hidden="false" customHeight="true" outlineLevel="0" collapsed="false">
      <c r="A8" s="33" t="n">
        <v>3</v>
      </c>
      <c r="B8" s="26" t="n">
        <v>3</v>
      </c>
      <c r="C8" s="26" t="n">
        <v>3</v>
      </c>
      <c r="D8" s="33" t="n">
        <f aca="false">INT((A8-1)/$B$3)+1</f>
        <v>2</v>
      </c>
      <c r="E8" s="24" t="n">
        <f aca="true">IF(D8=D7,E7,MAX(E7,MAX(OFFSET($B$6,(D8-1)*$B$3,0,MIN($B$3,COUNT($A$6:$A$13)-(D8-1)*$B$3),1))))</f>
        <v>3</v>
      </c>
      <c r="F8" s="24" t="n">
        <f aca="false">IF(D8=D7,"",EXP(E7-E8))</f>
        <v>0.367879441171442</v>
      </c>
      <c r="G8" s="24" t="n">
        <f aca="false">IF(D8=D7,G7,G7*F8)+EXP(B8-E8)</f>
        <v>1.50321472440806</v>
      </c>
      <c r="H8" s="24" t="n">
        <f aca="false">IF(D8=D7,H7,H7*F8)+EXP(B8-E8)*C8</f>
        <v>3.63855000764467</v>
      </c>
    </row>
    <row r="9" customFormat="false" ht="15" hidden="false" customHeight="true" outlineLevel="0" collapsed="false">
      <c r="A9" s="33" t="n">
        <v>4</v>
      </c>
      <c r="B9" s="26" t="n">
        <v>0</v>
      </c>
      <c r="C9" s="26" t="n">
        <v>4</v>
      </c>
      <c r="D9" s="33" t="n">
        <f aca="false">INT((A9-1)/$B$3)+1</f>
        <v>2</v>
      </c>
      <c r="E9" s="24" t="n">
        <f aca="true">IF(D9=D8,E8,MAX(E8,MAX(OFFSET($B$6,(D9-1)*$B$3,0,MIN($B$3,COUNT($A$6:$A$13)-(D9-1)*$B$3),1))))</f>
        <v>3</v>
      </c>
      <c r="F9" s="24" t="str">
        <f aca="false">IF(D9=D8,"",EXP(E8-E9))</f>
        <v/>
      </c>
      <c r="G9" s="24" t="n">
        <f aca="false">IF(D9=D8,G8,G8*F9)+EXP(B9-E9)</f>
        <v>1.55300179277592</v>
      </c>
      <c r="H9" s="24" t="n">
        <f aca="false">IF(D9=D8,H8,H8*F9)+EXP(B9-E9)*C9</f>
        <v>3.83769828111612</v>
      </c>
    </row>
    <row r="10" customFormat="false" ht="15" hidden="false" customHeight="true" outlineLevel="0" collapsed="false">
      <c r="A10" s="33" t="n">
        <v>5</v>
      </c>
      <c r="B10" s="26" t="n">
        <v>1.5</v>
      </c>
      <c r="C10" s="26" t="n">
        <v>5</v>
      </c>
      <c r="D10" s="33" t="n">
        <f aca="false">INT((A10-1)/$B$3)+1</f>
        <v>3</v>
      </c>
      <c r="E10" s="24" t="n">
        <f aca="true">IF(D10=D9,E9,MAX(E9,MAX(OFFSET($B$6,(D10-1)*$B$3,0,MIN($B$3,COUNT($A$6:$A$13)-(D10-1)*$B$3),1))))</f>
        <v>3</v>
      </c>
      <c r="F10" s="24" t="n">
        <f aca="false">IF(D10=D9,"",EXP(E9-E10))</f>
        <v>1</v>
      </c>
      <c r="G10" s="24" t="n">
        <f aca="false">IF(D10=D9,G9,G9*F10)+EXP(B10-E10)</f>
        <v>1.77613195292435</v>
      </c>
      <c r="H10" s="24" t="n">
        <f aca="false">IF(D10=D9,H9,H9*F10)+EXP(B10-E10)*C10</f>
        <v>4.95334908185827</v>
      </c>
    </row>
    <row r="11" customFormat="false" ht="15" hidden="false" customHeight="true" outlineLevel="0" collapsed="false">
      <c r="A11" s="33" t="n">
        <v>6</v>
      </c>
      <c r="B11" s="26" t="n">
        <v>-1</v>
      </c>
      <c r="C11" s="26" t="n">
        <v>6</v>
      </c>
      <c r="D11" s="33" t="n">
        <f aca="false">INT((A11-1)/$B$3)+1</f>
        <v>3</v>
      </c>
      <c r="E11" s="24" t="n">
        <f aca="true">IF(D11=D10,E10,MAX(E10,MAX(OFFSET($B$6,(D11-1)*$B$3,0,MIN($B$3,COUNT($A$6:$A$13)-(D11-1)*$B$3),1))))</f>
        <v>3</v>
      </c>
      <c r="F11" s="24" t="str">
        <f aca="false">IF(D11=D10,"",EXP(E10-E11))</f>
        <v/>
      </c>
      <c r="G11" s="24" t="n">
        <f aca="false">IF(D11=D10,G10,G10*F11)+EXP(B11-E11)</f>
        <v>1.79444759181308</v>
      </c>
      <c r="H11" s="24" t="n">
        <f aca="false">IF(D11=D10,H10,H10*F11)+EXP(B11-E11)*C11</f>
        <v>5.06324291519068</v>
      </c>
    </row>
    <row r="12" customFormat="false" ht="15" hidden="false" customHeight="true" outlineLevel="0" collapsed="false">
      <c r="A12" s="33" t="n">
        <v>7</v>
      </c>
      <c r="B12" s="26" t="n">
        <v>2.5</v>
      </c>
      <c r="C12" s="26" t="n">
        <v>7</v>
      </c>
      <c r="D12" s="33" t="n">
        <f aca="false">INT((A12-1)/$B$3)+1</f>
        <v>4</v>
      </c>
      <c r="E12" s="24" t="n">
        <f aca="true">IF(D12=D11,E11,MAX(E11,MAX(OFFSET($B$6,(D12-1)*$B$3,0,MIN($B$3,COUNT($A$6:$A$13)-(D12-1)*$B$3),1))))</f>
        <v>3</v>
      </c>
      <c r="F12" s="24" t="n">
        <f aca="false">IF(D12=D11,"",EXP(E11-E12))</f>
        <v>1</v>
      </c>
      <c r="G12" s="24" t="n">
        <f aca="false">IF(D12=D11,G11,G11*F12)+EXP(B12-E12)</f>
        <v>2.40097825152572</v>
      </c>
      <c r="H12" s="24" t="n">
        <f aca="false">IF(D12=D11,H11,H11*F12)+EXP(B12-E12)*C12</f>
        <v>9.30895753317911</v>
      </c>
    </row>
    <row r="13" customFormat="false" ht="15" hidden="false" customHeight="true" outlineLevel="0" collapsed="false">
      <c r="A13" s="33" t="n">
        <v>8</v>
      </c>
      <c r="B13" s="26" t="n">
        <v>0.5</v>
      </c>
      <c r="C13" s="26" t="n">
        <v>8</v>
      </c>
      <c r="D13" s="33" t="n">
        <f aca="false">INT((A13-1)/$B$3)+1</f>
        <v>4</v>
      </c>
      <c r="E13" s="24" t="n">
        <f aca="true">IF(D13=D12,E12,MAX(E12,MAX(OFFSET($B$6,(D13-1)*$B$3,0,MIN($B$3,COUNT($A$6:$A$13)-(D13-1)*$B$3),1))))</f>
        <v>3</v>
      </c>
      <c r="F13" s="24" t="str">
        <f aca="false">IF(D13=D12,"",EXP(E12-E13))</f>
        <v/>
      </c>
      <c r="G13" s="24" t="n">
        <f aca="false">IF(D13=D12,G12,G12*F13)+EXP(B13-E13)</f>
        <v>2.48306325014962</v>
      </c>
      <c r="H13" s="24" t="n">
        <f aca="false">IF(D13=D12,H12,H12*F13)+EXP(B13-E13)*C13</f>
        <v>9.9656375221703</v>
      </c>
    </row>
    <row r="15" customFormat="false" ht="15" hidden="false" customHeight="true" outlineLevel="0" collapsed="false">
      <c r="A15" s="15" t="s">
        <v>168</v>
      </c>
      <c r="B15" s="34" t="n">
        <f aca="false">H13/G13</f>
        <v>4.01344489374962</v>
      </c>
    </row>
    <row r="16" customFormat="false" ht="15" hidden="false" customHeight="true" outlineLevel="0" collapsed="false">
      <c r="A16" s="15" t="s">
        <v>169</v>
      </c>
      <c r="B16" s="34" t="n">
        <f aca="false">SUMPRODUCT(EXP(B6:B13-MAX(B6:B13)),C6:C13)/SUMPRODUCT(EXP(B6:B13-MAX(B6:B13)))</f>
        <v>4.01344489374962</v>
      </c>
    </row>
    <row r="17" customFormat="false" ht="15" hidden="false" customHeight="true" outlineLevel="0" collapsed="false">
      <c r="A17" s="11" t="s">
        <v>170</v>
      </c>
      <c r="B17" s="35" t="n">
        <f aca="false">H9/G9</f>
        <v>2.47114864835823</v>
      </c>
    </row>
    <row r="19" customFormat="false" ht="15" hidden="false" customHeight="true" outlineLevel="0" collapsed="false">
      <c r="A19" s="36" t="s">
        <v>171</v>
      </c>
    </row>
    <row r="20" customFormat="false" ht="23.25" hidden="false" customHeight="true" outlineLevel="0" collapsed="false">
      <c r="A20" s="13" t="s">
        <v>160</v>
      </c>
      <c r="B20" s="13" t="s">
        <v>161</v>
      </c>
      <c r="C20" s="13" t="s">
        <v>172</v>
      </c>
      <c r="D20" s="13" t="s">
        <v>173</v>
      </c>
      <c r="E20" s="13" t="s">
        <v>174</v>
      </c>
    </row>
    <row r="21" customFormat="false" ht="15" hidden="false" customHeight="true" outlineLevel="0" collapsed="false">
      <c r="A21" s="33" t="n">
        <v>1</v>
      </c>
      <c r="B21" s="32" t="n">
        <f aca="false">B6</f>
        <v>2</v>
      </c>
      <c r="C21" s="24" t="n">
        <f aca="false">EXP(B21-MAX($B$21:$B$24))</f>
        <v>0.367879441171442</v>
      </c>
      <c r="D21" s="24" t="n">
        <f aca="false">C21/SUM($C$21:$C$24)</f>
        <v>0.23688281808991</v>
      </c>
      <c r="E21" s="24" t="n">
        <f aca="false">D21*C6</f>
        <v>0.23688281808991</v>
      </c>
    </row>
    <row r="22" customFormat="false" ht="15" hidden="false" customHeight="true" outlineLevel="0" collapsed="false">
      <c r="A22" s="33" t="n">
        <v>2</v>
      </c>
      <c r="B22" s="32" t="n">
        <f aca="false">B7</f>
        <v>1</v>
      </c>
      <c r="C22" s="24" t="n">
        <f aca="false">EXP(B22-MAX($B$21:$B$24))</f>
        <v>0.135335283236613</v>
      </c>
      <c r="D22" s="24" t="n">
        <f aca="false">C22/SUM($C$21:$C$24)</f>
        <v>0.0871443187420326</v>
      </c>
      <c r="E22" s="24" t="n">
        <f aca="false">D22*C7</f>
        <v>0.174288637484065</v>
      </c>
    </row>
    <row r="23" customFormat="false" ht="15" hidden="false" customHeight="true" outlineLevel="0" collapsed="false">
      <c r="A23" s="33" t="n">
        <v>3</v>
      </c>
      <c r="B23" s="32" t="n">
        <f aca="false">B8</f>
        <v>3</v>
      </c>
      <c r="C23" s="24" t="n">
        <f aca="false">EXP(B23-MAX($B$21:$B$24))</f>
        <v>1</v>
      </c>
      <c r="D23" s="24" t="n">
        <f aca="false">C23/SUM($C$21:$C$24)</f>
        <v>0.643914259887972</v>
      </c>
      <c r="E23" s="24" t="n">
        <f aca="false">D23*C8</f>
        <v>1.93174277966392</v>
      </c>
    </row>
    <row r="24" customFormat="false" ht="15" hidden="false" customHeight="true" outlineLevel="0" collapsed="false">
      <c r="A24" s="33" t="n">
        <v>4</v>
      </c>
      <c r="B24" s="32" t="n">
        <f aca="false">B9</f>
        <v>0</v>
      </c>
      <c r="C24" s="24" t="n">
        <f aca="false">EXP(B24-MAX($B$21:$B$24))</f>
        <v>0.0497870683678639</v>
      </c>
      <c r="D24" s="24" t="n">
        <f aca="false">C24/SUM($C$21:$C$24)</f>
        <v>0.032058603280085</v>
      </c>
      <c r="E24" s="24" t="n">
        <f aca="false">D24*C9</f>
        <v>0.12823441312034</v>
      </c>
    </row>
    <row r="25" customFormat="false" ht="15" hidden="false" customHeight="true" outlineLevel="0" collapsed="false">
      <c r="A25" s="15" t="s">
        <v>175</v>
      </c>
      <c r="B25" s="37"/>
      <c r="C25" s="25" t="n">
        <f aca="false">SUM(C21:C24)</f>
        <v>1.55300179277592</v>
      </c>
      <c r="D25" s="25" t="n">
        <f aca="false">SUM(D21:D24)</f>
        <v>1</v>
      </c>
      <c r="E25" s="25" t="n">
        <f aca="false">SUM(E21:E24)</f>
        <v>2.47114864835823</v>
      </c>
    </row>
    <row r="27" customFormat="false" ht="15" hidden="false" customHeight="true" outlineLevel="0" collapsed="false">
      <c r="A27" s="21" t="s">
        <v>176</v>
      </c>
    </row>
    <row r="28" customFormat="false" ht="15" hidden="false" customHeight="true" outlineLevel="0" collapsed="false">
      <c r="A28" s="21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10" t="s">
        <v>178</v>
      </c>
    </row>
    <row r="3" customFormat="false" ht="15" hidden="false" customHeight="true" outlineLevel="0" collapsed="false">
      <c r="A3" s="11" t="s">
        <v>179</v>
      </c>
      <c r="B3" s="26" t="n">
        <v>8.19</v>
      </c>
    </row>
    <row r="4" customFormat="false" ht="15" hidden="false" customHeight="true" outlineLevel="0" collapsed="false">
      <c r="A4" s="11" t="s">
        <v>180</v>
      </c>
      <c r="B4" s="38" t="n">
        <v>4.5</v>
      </c>
    </row>
    <row r="5" customFormat="false" ht="15" hidden="false" customHeight="true" outlineLevel="0" collapsed="false">
      <c r="A5" s="11" t="s">
        <v>181</v>
      </c>
      <c r="B5" s="12" t="n">
        <v>147456</v>
      </c>
    </row>
    <row r="6" customFormat="false" ht="15" hidden="false" customHeight="true" outlineLevel="0" collapsed="false">
      <c r="A6" s="11" t="s">
        <v>182</v>
      </c>
      <c r="B6" s="27" t="n">
        <v>2</v>
      </c>
    </row>
    <row r="7" customFormat="false" ht="15" hidden="false" customHeight="true" outlineLevel="0" collapsed="false">
      <c r="A7" s="11" t="s">
        <v>183</v>
      </c>
      <c r="B7" s="12" t="n">
        <v>32768</v>
      </c>
    </row>
    <row r="8" customFormat="false" ht="15" hidden="false" customHeight="true" outlineLevel="0" collapsed="false">
      <c r="A8" s="11" t="s">
        <v>184</v>
      </c>
      <c r="B8" s="38" t="n">
        <v>1.5</v>
      </c>
    </row>
    <row r="9" customFormat="false" ht="15" hidden="false" customHeight="true" outlineLevel="0" collapsed="false">
      <c r="A9" s="11" t="s">
        <v>185</v>
      </c>
      <c r="B9" s="27" t="n">
        <v>24</v>
      </c>
    </row>
    <row r="11" customFormat="false" ht="15" hidden="false" customHeight="true" outlineLevel="0" collapsed="false">
      <c r="A11" s="13" t="s">
        <v>38</v>
      </c>
      <c r="B11" s="13" t="s">
        <v>39</v>
      </c>
    </row>
    <row r="12" customFormat="false" ht="15" hidden="false" customHeight="true" outlineLevel="0" collapsed="false">
      <c r="A12" s="11" t="s">
        <v>186</v>
      </c>
      <c r="B12" s="39" t="n">
        <f aca="false">B3*B4/8</f>
        <v>4.606875</v>
      </c>
    </row>
    <row r="13" customFormat="false" ht="15" hidden="false" customHeight="true" outlineLevel="0" collapsed="false">
      <c r="A13" s="11" t="s">
        <v>187</v>
      </c>
      <c r="B13" s="39" t="n">
        <f aca="false">B5*(B6/2)*B7/1000000000</f>
        <v>4.831838208</v>
      </c>
    </row>
    <row r="14" customFormat="false" ht="15" hidden="false" customHeight="true" outlineLevel="0" collapsed="false">
      <c r="A14" s="15" t="s">
        <v>188</v>
      </c>
      <c r="B14" s="39" t="n">
        <f aca="false">B12+B13+B8</f>
        <v>10.938713208</v>
      </c>
    </row>
    <row r="15" customFormat="false" ht="15" hidden="false" customHeight="true" outlineLevel="0" collapsed="false">
      <c r="A15" s="15" t="s">
        <v>189</v>
      </c>
      <c r="B15" s="15" t="str">
        <f aca="false">IF(B14&lt;=B9,"yes","no")</f>
        <v>yes</v>
      </c>
    </row>
    <row r="16" customFormat="false" ht="15" hidden="false" customHeight="true" outlineLevel="0" collapsed="false">
      <c r="A16" s="15" t="s">
        <v>190</v>
      </c>
      <c r="B16" s="40" t="n">
        <f aca="false">MAX(0,INT((B9-B12-B8)/B13))</f>
        <v>3</v>
      </c>
    </row>
    <row r="17" customFormat="false" ht="15" hidden="false" customHeight="true" outlineLevel="0" collapsed="false">
      <c r="A17" s="11" t="s">
        <v>191</v>
      </c>
      <c r="B17" s="39" t="n">
        <f aca="false">B9-B14</f>
        <v>13.061286792</v>
      </c>
    </row>
    <row r="18" customFormat="false" ht="15" hidden="false" customHeight="true" outlineLevel="0" collapsed="false">
      <c r="A18" s="15" t="s">
        <v>192</v>
      </c>
      <c r="B18" s="40" t="n">
        <f aca="false">MAX(0,INT((B9-B12-B8)/(B5/2*B7/1000000000)))</f>
        <v>7</v>
      </c>
    </row>
    <row r="19" customFormat="false" ht="15" hidden="false" customHeight="true" outlineLevel="0" collapsed="false">
      <c r="A19" s="11" t="s">
        <v>193</v>
      </c>
      <c r="B19" s="39" t="n">
        <f aca="false">B3*2</f>
        <v>16.38</v>
      </c>
    </row>
    <row r="20" customFormat="false" ht="15" hidden="false" customHeight="true" outlineLevel="0" collapsed="false">
      <c r="A20" s="15" t="s">
        <v>194</v>
      </c>
      <c r="B20" s="39" t="n">
        <f aca="false">B19+B13+B8</f>
        <v>22.711838208</v>
      </c>
    </row>
    <row r="21" customFormat="false" ht="15" hidden="false" customHeight="true" outlineLevel="0" collapsed="false">
      <c r="A21" s="15" t="s">
        <v>195</v>
      </c>
      <c r="B21" s="15" t="str">
        <f aca="false">IF(B20&lt;=B9,"yes","no")</f>
        <v>yes</v>
      </c>
    </row>
    <row r="23" customFormat="false" ht="15" hidden="false" customHeight="true" outlineLevel="0" collapsed="false">
      <c r="A23" s="21" t="s">
        <v>196</v>
      </c>
    </row>
    <row r="24" customFormat="false" ht="15" hidden="false" customHeight="true" outlineLevel="0" collapsed="false">
      <c r="A24" s="21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2026-10-01T22:27:50Z</dcterms:created>
  <dc:creator>Leonhard Korowajczuk</dc:creator>
  <dc:description/>
  <dc:language>en-US</dc:language>
  <cp:lastModifiedBy>Leonhard Korowajczuk</cp:lastModifiedBy>
  <dcterms:modified xsi:type="dcterms:W3CDTF">2026-10-20T17:46:35Z</dcterms:modified>
  <cp:revision>0</cp:revision>
  <dc:subject/>
  <dc:title>Anatomy of a Modern Decoder-Only LLM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