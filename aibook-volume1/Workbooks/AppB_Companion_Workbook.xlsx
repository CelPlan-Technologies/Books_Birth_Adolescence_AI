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ntropy" sheetId="2" state="visible" r:id="rId4"/>
    <sheet name="Cross-Entropy and KL" sheetId="3" state="visible" r:id="rId5"/>
    <sheet name="Compression" sheetId="4" state="visible" r:id="rId6"/>
    <sheet name="Channel Capacity" sheetId="5" state="visible" r:id="rId7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<sst xmlns="http://schemas.openxmlformats.org/spreadsheetml/2006/main" count="110" uniqueCount="99">
  <si>
    <t xml:space="preserve">Appendix B — Information Theory: Shannon’s Foundations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</si>
  <si>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</si>
  <si>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</si>
  <si>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</si>
  <si>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</si>
  <si>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Entropy</t>
  </si>
  <si>
    <t xml:space="preserve">Entropy of a next-token distribution and of a confident one, and the effect of two temperatures.</t>
  </si>
  <si>
    <t xml:space="preserve">Section B.2, Worked Example B.1</t>
  </si>
  <si>
    <t xml:space="preserve">Cross-Entropy and KL</t>
  </si>
  <si>
    <t xml:space="preserve">Cross-entropy, divergence and perplexity of a model against a true distribution, and the divergence between a full-precision and a 4-bit model.</t>
  </si>
  <si>
    <t xml:space="preserve">Section B.4, Worked Example B.2</t>
  </si>
  <si>
    <t xml:space="preserve">Compression</t>
  </si>
  <si>
    <t xml:space="preserve">Loss in nats per token → bits per token and per character, fixed-length token IDs, compressed size and the comparison with UTF-8 and bzip2.</t>
  </si>
  <si>
    <t xml:space="preserve">Section B.5, Worked Example B.3</t>
  </si>
  <si>
    <t xml:space="preserve">Channel Capacity</t>
  </si>
  <si>
    <t xml:space="preserve">Shannon–Hartley capacity, token-stream bit rates and prompt upload time; capacity against S/N for 20 MHz and 100 MHz channels.</t>
  </si>
  <si>
    <t xml:space="preserve">Section B.7, Worked Example B.4, Figure B.5</t>
  </si>
  <si>
    <t xml:space="preserve">Notes</t>
  </si>
  <si>
    <t xml:space="preserve">Logarithms base 2 (bits) unless stated.</t>
  </si>
  <si>
    <t xml:space="preserve">Entropy of a Next-Token Distribution and the Effect of Temperature (Worked Example B.1)</t>
  </si>
  <si>
    <t xml:space="preserve">Temperature T₁</t>
  </si>
  <si>
    <t xml:space="preserve">Temperature T₂</t>
  </si>
  <si>
    <t xml:space="preserve">Token</t>
  </si>
  <si>
    <t xml:space="preserve">Probability P</t>
  </si>
  <si>
    <t xml:space="preserve">−P·log₂P</t>
  </si>
  <si>
    <t xml:space="preserve">Logit ln P ÷ T₁</t>
  </si>
  <si>
    <t xml:space="preserve">exp</t>
  </si>
  <si>
    <t xml:space="preserve">P at temperature T₁</t>
  </si>
  <si>
    <t xml:space="preserve">−P_T₁·log₂P_T₁</t>
  </si>
  <si>
    <t xml:space="preserve">P at temperature T₂</t>
  </si>
  <si>
    <t xml:space="preserve">−P_T₂·log₂P_T₂</t>
  </si>
  <si>
    <t xml:space="preserve">Confident P</t>
  </si>
  <si>
    <t xml:space="preserve">−P·log₂P, confident</t>
  </si>
  <si>
    <t xml:space="preserve">token 1</t>
  </si>
  <si>
    <t xml:space="preserve">token 2</t>
  </si>
  <si>
    <t xml:space="preserve">token 3</t>
  </si>
  <si>
    <t xml:space="preserve">token 4</t>
  </si>
  <si>
    <t xml:space="preserve">Entropy H (bits)</t>
  </si>
  <si>
    <t xml:space="preserve">Maximum for 4 outcomes = log₂ 4</t>
  </si>
  <si>
    <t xml:space="preserve">Check: probabilities sum to</t>
  </si>
  <si>
    <t xml:space="preserve">Cross-Entropy, KL Divergence and Perplexity (Worked Example B.2)</t>
  </si>
  <si>
    <t xml:space="preserve">Outcome</t>
  </si>
  <si>
    <t xml:space="preserve">True P</t>
  </si>
  <si>
    <t xml:space="preserve">Model Q</t>
  </si>
  <si>
    <t xml:space="preserve">−log₂Q</t>
  </si>
  <si>
    <t xml:space="preserve">−P·log₂Q</t>
  </si>
  <si>
    <t xml:space="preserve">P·log₂(P/Q)</t>
  </si>
  <si>
    <t xml:space="preserve">Cross-entropy H(P,Q) (bits)</t>
  </si>
  <si>
    <t xml:space="preserve">KL divergence D(P‖Q) (bits)</t>
  </si>
  <si>
    <t xml:space="preserve">Entropy H(P) (bits)</t>
  </si>
  <si>
    <t xml:space="preserve">Check: H(P,Q) − H(P)</t>
  </si>
  <si>
    <t xml:space="preserve">Perplexity of the model 2^H(P,Q)</t>
  </si>
  <si>
    <t xml:space="preserve">Perplexity of the true distribution 2^H(P)</t>
  </si>
  <si>
    <t xml:space="preserve">Cross-entropy in nats</t>
  </si>
  <si>
    <t xml:space="preserve">Quantized model: outcome</t>
  </si>
  <si>
    <t xml:space="preserve">Full precision P</t>
  </si>
  <si>
    <t xml:space="preserve">4-bit Q</t>
  </si>
  <si>
    <t xml:space="preserve">KL(full ‖ 4-bit), bits per token</t>
  </si>
  <si>
    <t xml:space="preserve">KL(full ‖ 4-bit), nats per token</t>
  </si>
  <si>
    <t xml:space="preserve">The quantized-model numbers are illustrative; Worked Example 14.3 measures about 0.03 nats per token for a Q4_K_M model. Frameworks and llama.cpp report divergences in nats (1 nat ≈ 1.443 bits).</t>
  </si>
  <si>
    <t xml:space="preserve">Terms with P = 0 contribute 0 (0·log 0 = 0). Where Q = 0 but P &gt; 0, cross-entropy, KL divergence and perplexity are infinite (shown as ∞).</t>
  </si>
  <si>
    <t xml:space="preserve">From Training Loss to Bits per Character (Worked Example B.3)</t>
  </si>
  <si>
    <t xml:space="preserve">Loss (nats per token)</t>
  </si>
  <si>
    <t xml:space="preserve">Characters in the text (Chapters 1–4)</t>
  </si>
  <si>
    <t xml:space="preserve">Tokens in the text (o200k tokenizer)</t>
  </si>
  <si>
    <t xml:space="preserve">Vocabulary size (o200k, about 200,000)</t>
  </si>
  <si>
    <t xml:space="preserve">bzip2 on the same text (bits per character)</t>
  </si>
  <si>
    <t xml:space="preserve">Characters per token</t>
  </si>
  <si>
    <t xml:space="preserve">Loss in bits per token</t>
  </si>
  <si>
    <t xml:space="preserve">Bits per character (model)</t>
  </si>
  <si>
    <t xml:space="preserve">Fixed-length token IDs: ⌈log₂ vocabulary⌉ bits</t>
  </si>
  <si>
    <t xml:space="preserve">Ideal fixed-rate code: log₂ vocabulary bits</t>
  </si>
  <si>
    <t xml:space="preserve">Ideal fixed-rate code: bits per character</t>
  </si>
  <si>
    <t xml:space="preserve">Compressed size with the model (KB)</t>
  </si>
  <si>
    <t xml:space="preserve">UTF-8 size (KB, ASCII text)</t>
  </si>
  <si>
    <t xml:space="preserve">Compression ratio</t>
  </si>
  <si>
    <t xml:space="preserve">UTF-8 (8 bits per character) ÷ model</t>
  </si>
  <si>
    <t xml:space="preserve">bzip2 ÷ model</t>
  </si>
  <si>
    <t xml:space="preserve">Perplexity per token</t>
  </si>
  <si>
    <t xml:space="preserve">Measured on this book's Chapters 1–4 (Figure B.4): gzip -9 2.96, xz -9e 2.58, bzip2 -9 2.38 bits per character; Shannon (1951) 0.6–1.3 bits per letter.</t>
  </si>
  <si>
    <t xml:space="preserve">Shannon–Hartley Capacity and Token Streams (Worked Example B.4)</t>
  </si>
  <si>
    <t xml:space="preserve">Bandwidth B (MHz)</t>
  </si>
  <si>
    <t xml:space="preserve">Signal-to-noise ratio (dB)</t>
  </si>
  <si>
    <t xml:space="preserve">Tokens per second</t>
  </si>
  <si>
    <t xml:space="preserve">Bits per token ID (fixed length)</t>
  </si>
  <si>
    <t xml:space="preserve">Bits per token (entropy-coded)</t>
  </si>
  <si>
    <t xml:space="preserve">Prompt length (tokens)</t>
  </si>
  <si>
    <t xml:space="preserve">S/N as a ratio</t>
  </si>
  <si>
    <t xml:space="preserve">Spectral efficiency log₂(1 + S/N) (bit/s/Hz)</t>
  </si>
  <si>
    <t xml:space="preserve">Capacity C = B log₂(1 + S/N) (Mbit/s)</t>
  </si>
  <si>
    <t xml:space="preserve">Token stream, fixed-length IDs (bit/s)</t>
  </si>
  <si>
    <t xml:space="preserve">Token stream, information content (bit/s)</t>
  </si>
  <si>
    <t xml:space="preserve">Token stream as UTF-8 text (bit/s)</t>
  </si>
  <si>
    <t xml:space="preserve">Prompt as UTF-8 text (KB)</t>
  </si>
  <si>
    <t xml:space="preserve">Prompt upload time at capacity (s)</t>
  </si>
  <si>
    <t xml:space="preserve">S/N (dB)</t>
  </si>
  <si>
    <t xml:space="preserve">Capacity, 20 MHz (Mbit/s)</t>
  </si>
  <si>
    <t xml:space="preserve">Capacity, 100 MHz (Mbit/s)</t>
  </si>
  <si>
    <t xml:space="preserve">The table gives the data plotted in Figure B.5 (Section B.7).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</si>
</sst>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00"/>
    <numFmt numFmtId="167" formatCode="0.0000"/>
    <numFmt numFmtId="168" formatCode="#,##0"/>
    <numFmt numFmtId="169" formatCode="0"/>
    <numFmt numFmtId="170" formatCode="#,##0.0"/>
    <numFmt numFmtId="171" formatCode="0.0%"/>
    <numFmt numFmtId="172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30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30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30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15" hidden="false" customHeight="true" outlineLevel="0" collapsed="false">
      <c r="A9" s="4"/>
    </row>
    <row r="10" customFormat="false" ht="15" hidden="false" customHeight="false" outlineLevel="0" collapsed="false">
      <c r="A10" s="8" t="s">
        <v>17</v>
      </c>
    </row>
    <row r="11" customFormat="false" ht="15" hidden="false" customHeight="true" outlineLevel="0" collapsed="false">
      <c r="A11" s="9" t="s">
        <v>18</v>
      </c>
      <c r="B11" s="9"/>
      <c r="C11" s="9"/>
    </row>
  </sheetData>
  <mergeCells count="2">
    <mergeCell ref="A2:C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6" min="6" style="1" width="18"/>
    <col collapsed="false" customWidth="true" hidden="false" outlineLevel="0" max="7" min="7" style="1" width="15"/>
    <col collapsed="false" customWidth="true" hidden="false" outlineLevel="0" max="8" min="8" style="1" width="18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18"/>
  </cols>
  <sheetData>
    <row r="1" customFormat="false" ht="15.75" hidden="false" customHeight="true" outlineLevel="0" collapsed="false">
      <c r="A1" s="10" t="s">
        <v>19</v>
      </c>
    </row>
    <row r="3" customFormat="false" ht="15" hidden="false" customHeight="true" outlineLevel="0" collapsed="false">
      <c r="A3" s="11" t="s">
        <v>20</v>
      </c>
      <c r="B3" s="12" t="n">
        <v>0.5</v>
      </c>
    </row>
    <row r="4" customFormat="false" ht="15" hidden="false" customHeight="true" outlineLevel="0" collapsed="false">
      <c r="A4" s="11" t="s">
        <v>21</v>
      </c>
      <c r="B4" s="12" t="n">
        <v>2</v>
      </c>
    </row>
    <row r="5" customFormat="false" ht="15" hidden="false" customHeight="true" outlineLevel="0" collapsed="false">
      <c r="A5" s="13" t="s">
        <v>22</v>
      </c>
      <c r="B5" s="13" t="s">
        <v>23</v>
      </c>
      <c r="C5" s="13" t="s">
        <v>24</v>
      </c>
      <c r="D5" s="13" t="s">
        <v>25</v>
      </c>
      <c r="E5" s="13" t="s">
        <v>26</v>
      </c>
      <c r="F5" s="13" t="s">
        <v>27</v>
      </c>
      <c r="G5" s="13" t="s">
        <v>28</v>
      </c>
      <c r="H5" s="13" t="s">
        <v>29</v>
      </c>
      <c r="I5" s="13" t="s">
        <v>30</v>
      </c>
      <c r="J5" s="13" t="s">
        <v>31</v>
      </c>
      <c r="K5" s="13" t="s">
        <v>32</v>
      </c>
    </row>
    <row r="6" customFormat="false" ht="15" hidden="false" customHeight="true" outlineLevel="0" collapsed="false">
      <c r="A6" s="11" t="s">
        <v>33</v>
      </c>
      <c r="B6" s="14" t="n">
        <v>0.5</v>
      </c>
      <c r="C6" s="15" t="n">
        <f aca="false">IF(B6&gt;0,-B6*LOG(B6,2),0)</f>
        <v>0.5</v>
      </c>
      <c r="D6" s="15" t="n">
        <f aca="false">IF(B6&gt;0,LN(B6)/$B$3,"")</f>
        <v>-1.38629436111989</v>
      </c>
      <c r="E6" s="15" t="n">
        <f aca="false">IF(B6&gt;0,EXP(D6),0)</f>
        <v>0.25</v>
      </c>
      <c r="F6" s="15" t="n">
        <f aca="false">E6/SUM($E$6:$E$9)</f>
        <v>0.727272727272727</v>
      </c>
      <c r="G6" s="15" t="n">
        <f aca="false">IF(F6&gt;0,-F6*LOG(F6,2),0)</f>
        <v>0.334132086281671</v>
      </c>
      <c r="H6" s="15" t="n">
        <f aca="false">B6^(1/$B$4)/SUMPRODUCT($B$6:$B$9^(1/$B$4))</f>
        <v>0.369398062518129</v>
      </c>
      <c r="I6" s="15" t="n">
        <f aca="false">IF(H6&gt;0,-H6*LOG(H6,2),0)</f>
        <v>0.530733329554915</v>
      </c>
      <c r="J6" s="14" t="n">
        <v>0.97</v>
      </c>
      <c r="K6" s="15" t="n">
        <f aca="false">IF(J6&gt;0,-J6*LOG(J6,2),0)</f>
        <v>0.0426250471599691</v>
      </c>
    </row>
    <row r="7" customFormat="false" ht="15" hidden="false" customHeight="true" outlineLevel="0" collapsed="false">
      <c r="A7" s="11" t="s">
        <v>34</v>
      </c>
      <c r="B7" s="14" t="n">
        <v>0.25</v>
      </c>
      <c r="C7" s="15" t="n">
        <f aca="false">IF(B7&gt;0,-B7*LOG(B7,2),0)</f>
        <v>0.5</v>
      </c>
      <c r="D7" s="15" t="n">
        <f aca="false">IF(B7&gt;0,LN(B7)/$B$3,"")</f>
        <v>-2.77258872223978</v>
      </c>
      <c r="E7" s="15" t="n">
        <f aca="false">IF(B7&gt;0,EXP(D7),0)</f>
        <v>0.0625</v>
      </c>
      <c r="F7" s="15" t="n">
        <f aca="false">E7/SUM($E$6:$E$9)</f>
        <v>0.181818181818182</v>
      </c>
      <c r="G7" s="15" t="n">
        <f aca="false">IF(F7&gt;0,-F7*LOG(F7,2),0)</f>
        <v>0.447169385206781</v>
      </c>
      <c r="H7" s="15" t="n">
        <f aca="false">B7^(1/$B$4)/SUMPRODUCT($B$6:$B$9^(1/$B$4))</f>
        <v>0.261203874963741</v>
      </c>
      <c r="I7" s="15" t="n">
        <f aca="false">IF(H7&gt;0,-H7*LOG(H7,2),0)</f>
        <v>0.505887073811866</v>
      </c>
      <c r="J7" s="14" t="n">
        <v>0.01</v>
      </c>
      <c r="K7" s="15" t="n">
        <f aca="false">IF(J7&gt;0,-J7*LOG(J7,2),0)</f>
        <v>0.0664385618977472</v>
      </c>
    </row>
    <row r="8" customFormat="false" ht="15" hidden="false" customHeight="true" outlineLevel="0" collapsed="false">
      <c r="A8" s="11" t="s">
        <v>35</v>
      </c>
      <c r="B8" s="14" t="n">
        <v>0.125</v>
      </c>
      <c r="C8" s="15" t="n">
        <f aca="false">IF(B8&gt;0,-B8*LOG(B8,2),0)</f>
        <v>0.375</v>
      </c>
      <c r="D8" s="15" t="n">
        <f aca="false">IF(B8&gt;0,LN(B8)/$B$3,"")</f>
        <v>-4.15888308335967</v>
      </c>
      <c r="E8" s="15" t="n">
        <f aca="false">IF(B8&gt;0,EXP(D8),0)</f>
        <v>0.015625</v>
      </c>
      <c r="F8" s="15" t="n">
        <f aca="false">E8/SUM($E$6:$E$9)</f>
        <v>0.0454545454545455</v>
      </c>
      <c r="G8" s="15" t="n">
        <f aca="false">IF(F8&gt;0,-F8*LOG(F8,2),0)</f>
        <v>0.202701437210786</v>
      </c>
      <c r="H8" s="15" t="n">
        <f aca="false">B8^(1/$B$4)/SUMPRODUCT($B$6:$B$9^(1/$B$4))</f>
        <v>0.184699031259065</v>
      </c>
      <c r="I8" s="15" t="n">
        <f aca="false">IF(H8&gt;0,-H8*LOG(H8,2),0)</f>
        <v>0.450065696036522</v>
      </c>
      <c r="J8" s="14" t="n">
        <v>0.01</v>
      </c>
      <c r="K8" s="15" t="n">
        <f aca="false">IF(J8&gt;0,-J8*LOG(J8,2),0)</f>
        <v>0.0664385618977472</v>
      </c>
    </row>
    <row r="9" customFormat="false" ht="15" hidden="false" customHeight="true" outlineLevel="0" collapsed="false">
      <c r="A9" s="11" t="s">
        <v>36</v>
      </c>
      <c r="B9" s="14" t="n">
        <v>0.125</v>
      </c>
      <c r="C9" s="15" t="n">
        <f aca="false">IF(B9&gt;0,-B9*LOG(B9,2),0)</f>
        <v>0.375</v>
      </c>
      <c r="D9" s="15" t="n">
        <f aca="false">IF(B9&gt;0,LN(B9)/$B$3,"")</f>
        <v>-4.15888308335967</v>
      </c>
      <c r="E9" s="15" t="n">
        <f aca="false">IF(B9&gt;0,EXP(D9),0)</f>
        <v>0.015625</v>
      </c>
      <c r="F9" s="15" t="n">
        <f aca="false">E9/SUM($E$6:$E$9)</f>
        <v>0.0454545454545455</v>
      </c>
      <c r="G9" s="15" t="n">
        <f aca="false">IF(F9&gt;0,-F9*LOG(F9,2),0)</f>
        <v>0.202701437210786</v>
      </c>
      <c r="H9" s="15" t="n">
        <f aca="false">B9^(1/$B$4)/SUMPRODUCT($B$6:$B$9^(1/$B$4))</f>
        <v>0.184699031259065</v>
      </c>
      <c r="I9" s="15" t="n">
        <f aca="false">IF(H9&gt;0,-H9*LOG(H9,2),0)</f>
        <v>0.450065696036522</v>
      </c>
      <c r="J9" s="14" t="n">
        <v>0.01</v>
      </c>
      <c r="K9" s="15" t="n">
        <f aca="false">IF(J9&gt;0,-J9*LOG(J9,2),0)</f>
        <v>0.0664385618977472</v>
      </c>
    </row>
    <row r="11" customFormat="false" ht="15" hidden="false" customHeight="true" outlineLevel="0" collapsed="false">
      <c r="A11" s="16" t="s">
        <v>37</v>
      </c>
      <c r="C11" s="17" t="n">
        <f aca="false">SUM(C6:C9)</f>
        <v>1.75</v>
      </c>
      <c r="G11" s="17" t="n">
        <f aca="false">SUM(G6:G9)</f>
        <v>1.18670434591002</v>
      </c>
      <c r="I11" s="17" t="n">
        <f aca="false">SUM(I6:I9)</f>
        <v>1.93675179543982</v>
      </c>
      <c r="K11" s="17" t="n">
        <f aca="false">SUM(K6:K9)</f>
        <v>0.241940732853211</v>
      </c>
    </row>
    <row r="12" customFormat="false" ht="15" hidden="false" customHeight="true" outlineLevel="0" collapsed="false">
      <c r="A12" s="11" t="s">
        <v>38</v>
      </c>
      <c r="C12" s="15" t="n">
        <f aca="false">LOG(4,2)</f>
        <v>2</v>
      </c>
    </row>
    <row r="13" customFormat="false" ht="15" hidden="false" customHeight="true" outlineLevel="0" collapsed="false">
      <c r="A13" s="11" t="s">
        <v>39</v>
      </c>
      <c r="C13" s="15" t="n">
        <f aca="false">SUM(B6:B9)</f>
        <v>1</v>
      </c>
      <c r="K13" s="15" t="n">
        <f aca="false">SUM(J6:J9)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2"/>
    <col collapsed="false" customWidth="true" hidden="false" outlineLevel="0" max="6" min="6" style="1" width="13"/>
    <col collapsed="false" customWidth="true" hidden="false" outlineLevel="0" max="7" min="7" style="1" width="12"/>
  </cols>
  <sheetData>
    <row r="1" customFormat="false" ht="15.75" hidden="false" customHeight="true" outlineLevel="0" collapsed="false">
      <c r="A1" s="10" t="s">
        <v>40</v>
      </c>
    </row>
    <row r="3" customFormat="false" ht="15" hidden="false" customHeight="true" outlineLevel="0" collapsed="false">
      <c r="A3" s="13" t="s">
        <v>41</v>
      </c>
      <c r="B3" s="13" t="s">
        <v>42</v>
      </c>
      <c r="C3" s="13" t="s">
        <v>43</v>
      </c>
      <c r="D3" s="13" t="s">
        <v>44</v>
      </c>
      <c r="E3" s="13" t="s">
        <v>45</v>
      </c>
      <c r="F3" s="13" t="s">
        <v>46</v>
      </c>
      <c r="G3" s="13" t="s">
        <v>24</v>
      </c>
    </row>
    <row r="4" customFormat="false" ht="15" hidden="false" customHeight="true" outlineLevel="0" collapsed="false">
      <c r="A4" s="11" t="s">
        <v>33</v>
      </c>
      <c r="B4" s="14" t="n">
        <v>0.5</v>
      </c>
      <c r="C4" s="14" t="n">
        <v>0.4</v>
      </c>
      <c r="D4" s="15" t="n">
        <f aca="false">IF(C4&gt;0,-LOG(C4,2),"∞")</f>
        <v>1.32192809488736</v>
      </c>
      <c r="E4" s="18" t="n">
        <f aca="false">IF(B4=0,0,IF(C4&gt;0,-B4*LOG(C4,2),"∞"))</f>
        <v>0.660964047443681</v>
      </c>
      <c r="F4" s="18" t="n">
        <f aca="false">IF(B4=0,0,IF(C4&gt;0,B4*LOG(B4/C4,2),"∞"))</f>
        <v>0.160964047443681</v>
      </c>
      <c r="G4" s="18" t="n">
        <f aca="false">IF(B4&gt;0,-B4*LOG(B4,2),0)</f>
        <v>0.5</v>
      </c>
    </row>
    <row r="5" customFormat="false" ht="15" hidden="false" customHeight="true" outlineLevel="0" collapsed="false">
      <c r="A5" s="11" t="s">
        <v>34</v>
      </c>
      <c r="B5" s="14" t="n">
        <v>0.25</v>
      </c>
      <c r="C5" s="14" t="n">
        <v>0.3</v>
      </c>
      <c r="D5" s="15" t="n">
        <f aca="false">IF(C5&gt;0,-LOG(C5,2),"∞")</f>
        <v>1.73696559416621</v>
      </c>
      <c r="E5" s="18" t="n">
        <f aca="false">IF(B5=0,0,IF(C5&gt;0,-B5*LOG(C5,2),"∞"))</f>
        <v>0.434241398541552</v>
      </c>
      <c r="F5" s="18" t="n">
        <f aca="false">IF(B5=0,0,IF(C5&gt;0,B5*LOG(B5/C5,2),"∞"))</f>
        <v>-0.0657586014584485</v>
      </c>
      <c r="G5" s="18" t="n">
        <f aca="false">IF(B5&gt;0,-B5*LOG(B5,2),0)</f>
        <v>0.5</v>
      </c>
    </row>
    <row r="6" customFormat="false" ht="15" hidden="false" customHeight="true" outlineLevel="0" collapsed="false">
      <c r="A6" s="11" t="s">
        <v>35</v>
      </c>
      <c r="B6" s="14" t="n">
        <v>0.125</v>
      </c>
      <c r="C6" s="14" t="n">
        <v>0.2</v>
      </c>
      <c r="D6" s="15" t="n">
        <f aca="false">IF(C6&gt;0,-LOG(C6,2),"∞")</f>
        <v>2.32192809488736</v>
      </c>
      <c r="E6" s="18" t="n">
        <f aca="false">IF(B6=0,0,IF(C6&gt;0,-B6*LOG(C6,2),"∞"))</f>
        <v>0.29024101186092</v>
      </c>
      <c r="F6" s="18" t="n">
        <f aca="false">IF(B6=0,0,IF(C6&gt;0,B6*LOG(B6/C6,2),"∞"))</f>
        <v>-0.0847589881390797</v>
      </c>
      <c r="G6" s="18" t="n">
        <f aca="false">IF(B6&gt;0,-B6*LOG(B6,2),0)</f>
        <v>0.375</v>
      </c>
    </row>
    <row r="7" customFormat="false" ht="15" hidden="false" customHeight="true" outlineLevel="0" collapsed="false">
      <c r="A7" s="11" t="s">
        <v>36</v>
      </c>
      <c r="B7" s="14" t="n">
        <v>0.125</v>
      </c>
      <c r="C7" s="14" t="n">
        <v>0.1</v>
      </c>
      <c r="D7" s="15" t="n">
        <f aca="false">IF(C7&gt;0,-LOG(C7,2),"∞")</f>
        <v>3.32192809488736</v>
      </c>
      <c r="E7" s="18" t="n">
        <f aca="false">IF(B7=0,0,IF(C7&gt;0,-B7*LOG(C7,2),"∞"))</f>
        <v>0.41524101186092</v>
      </c>
      <c r="F7" s="18" t="n">
        <f aca="false">IF(B7=0,0,IF(C7&gt;0,B7*LOG(B7/C7,2),"∞"))</f>
        <v>0.0402410118609203</v>
      </c>
      <c r="G7" s="18" t="n">
        <f aca="false">IF(B7&gt;0,-B7*LOG(B7,2),0)</f>
        <v>0.375</v>
      </c>
    </row>
    <row r="9" customFormat="false" ht="15" hidden="false" customHeight="true" outlineLevel="0" collapsed="false">
      <c r="A9" s="16" t="s">
        <v>47</v>
      </c>
      <c r="E9" s="17" t="n">
        <f aca="false">IF(COUNTIF(E4:E7,"∞")&gt;0,"∞",SUM(E4:E7))</f>
        <v>1.80068746970707</v>
      </c>
    </row>
    <row r="10" customFormat="false" ht="15" hidden="false" customHeight="true" outlineLevel="0" collapsed="false">
      <c r="A10" s="16" t="s">
        <v>48</v>
      </c>
      <c r="F10" s="19" t="n">
        <f aca="false">IF(COUNTIF(F4:F7,"∞")&gt;0,"∞",SUM(F4:F7))</f>
        <v>0.0506874697070733</v>
      </c>
    </row>
    <row r="11" customFormat="false" ht="15" hidden="false" customHeight="true" outlineLevel="0" collapsed="false">
      <c r="A11" s="16" t="s">
        <v>49</v>
      </c>
      <c r="G11" s="17" t="n">
        <f aca="false">SUM(G4:G7)</f>
        <v>1.75</v>
      </c>
    </row>
    <row r="12" customFormat="false" ht="15" hidden="false" customHeight="true" outlineLevel="0" collapsed="false">
      <c r="A12" s="11" t="s">
        <v>50</v>
      </c>
      <c r="E12" s="18" t="n">
        <f aca="false">IF(ISNUMBER(E9),E9-G11,"∞")</f>
        <v>0.0506874697070732</v>
      </c>
    </row>
    <row r="13" customFormat="false" ht="15" hidden="false" customHeight="true" outlineLevel="0" collapsed="false">
      <c r="A13" s="11" t="s">
        <v>51</v>
      </c>
      <c r="E13" s="20" t="n">
        <f aca="false">IF(ISNUMBER(E9),2^E9,"∞")</f>
        <v>3.48386197956852</v>
      </c>
    </row>
    <row r="14" customFormat="false" ht="15" hidden="false" customHeight="true" outlineLevel="0" collapsed="false">
      <c r="A14" s="11" t="s">
        <v>52</v>
      </c>
      <c r="E14" s="20" t="n">
        <f aca="false">2^G11</f>
        <v>3.36358566101486</v>
      </c>
    </row>
    <row r="15" customFormat="false" ht="15" hidden="false" customHeight="true" outlineLevel="0" collapsed="false">
      <c r="A15" s="11" t="s">
        <v>53</v>
      </c>
      <c r="E15" s="15" t="n">
        <f aca="false">IF(ISNUMBER(E9),E9*LN(2),"∞")</f>
        <v>1.24814144269708</v>
      </c>
    </row>
    <row r="17" customFormat="false" ht="30" hidden="false" customHeight="true" outlineLevel="0" collapsed="false">
      <c r="A17" s="13" t="s">
        <v>54</v>
      </c>
      <c r="B17" s="13" t="s">
        <v>55</v>
      </c>
      <c r="C17" s="13" t="s">
        <v>56</v>
      </c>
      <c r="D17" s="13" t="s">
        <v>46</v>
      </c>
    </row>
    <row r="18" customFormat="false" ht="15" hidden="false" customHeight="true" outlineLevel="0" collapsed="false">
      <c r="A18" s="11" t="s">
        <v>33</v>
      </c>
      <c r="B18" s="14" t="n">
        <v>0.6</v>
      </c>
      <c r="C18" s="14" t="n">
        <v>0.57</v>
      </c>
      <c r="D18" s="18" t="n">
        <f aca="false">IF(B18=0,0,IF(C18&gt;0,B18*LOG(B18/C18,2),"∞"))</f>
        <v>0.0444003488662661</v>
      </c>
    </row>
    <row r="19" customFormat="false" ht="15" hidden="false" customHeight="true" outlineLevel="0" collapsed="false">
      <c r="A19" s="11" t="s">
        <v>34</v>
      </c>
      <c r="B19" s="14" t="n">
        <v>0.25</v>
      </c>
      <c r="C19" s="14" t="n">
        <v>0.27</v>
      </c>
      <c r="D19" s="18" t="n">
        <f aca="false">IF(B19=0,0,IF(C19&gt;0,B19*LOG(B19/C19,2),"∞"))</f>
        <v>-0.027757828097186</v>
      </c>
    </row>
    <row r="20" customFormat="false" ht="15" hidden="false" customHeight="true" outlineLevel="0" collapsed="false">
      <c r="A20" s="11" t="s">
        <v>35</v>
      </c>
      <c r="B20" s="14" t="n">
        <v>0.1</v>
      </c>
      <c r="C20" s="14" t="n">
        <v>0.11</v>
      </c>
      <c r="D20" s="18" t="n">
        <f aca="false">IF(B20=0,0,IF(C20&gt;0,B20*LOG(B20/C20,2),"∞"))</f>
        <v>-0.0137503523749935</v>
      </c>
    </row>
    <row r="21" customFormat="false" ht="15" hidden="false" customHeight="true" outlineLevel="0" collapsed="false">
      <c r="A21" s="11" t="s">
        <v>36</v>
      </c>
      <c r="B21" s="14" t="n">
        <v>0.05</v>
      </c>
      <c r="C21" s="14" t="n">
        <v>0.05</v>
      </c>
      <c r="D21" s="18" t="n">
        <f aca="false">IF(B21=0,0,IF(C21&gt;0,B21*LOG(B21/C21,2),"∞"))</f>
        <v>0</v>
      </c>
    </row>
    <row r="23" customFormat="false" ht="15" hidden="false" customHeight="true" outlineLevel="0" collapsed="false">
      <c r="A23" s="16" t="s">
        <v>57</v>
      </c>
      <c r="D23" s="17" t="n">
        <f aca="false">IF(COUNTIF(D18:D21,"∞")&gt;0,"∞",SUM(D18:D21))</f>
        <v>0.00289216839408658</v>
      </c>
    </row>
    <row r="24" customFormat="false" ht="15" hidden="false" customHeight="true" outlineLevel="0" collapsed="false">
      <c r="A24" s="11" t="s">
        <v>58</v>
      </c>
      <c r="D24" s="15" t="n">
        <f aca="false">IF(ISNUMBER(D23),D23*LN(2),"∞")</f>
        <v>0.0020046983680657</v>
      </c>
    </row>
    <row r="26" customFormat="false" ht="15" hidden="false" customHeight="true" outlineLevel="0" collapsed="false">
      <c r="A26" s="21" t="s">
        <v>59</v>
      </c>
    </row>
    <row r="27" customFormat="false" ht="15" hidden="false" customHeight="true" outlineLevel="0" collapsed="false">
      <c r="A27" s="21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4"/>
    <col collapsed="false" customWidth="true" hidden="false" outlineLevel="0" max="2" min="2" style="1" width="14"/>
  </cols>
  <sheetData>
    <row r="1" customFormat="false" ht="15.75" hidden="false" customHeight="true" outlineLevel="0" collapsed="false">
      <c r="A1" s="10" t="s">
        <v>61</v>
      </c>
    </row>
    <row r="3" customFormat="false" ht="15" hidden="false" customHeight="true" outlineLevel="0" collapsed="false">
      <c r="A3" s="11" t="s">
        <v>62</v>
      </c>
      <c r="B3" s="14" t="n">
        <v>2</v>
      </c>
    </row>
    <row r="4" customFormat="false" ht="15" hidden="false" customHeight="true" outlineLevel="0" collapsed="false">
      <c r="A4" s="11" t="s">
        <v>63</v>
      </c>
      <c r="B4" s="22" t="n">
        <v>167873</v>
      </c>
    </row>
    <row r="5" customFormat="false" ht="15" hidden="false" customHeight="true" outlineLevel="0" collapsed="false">
      <c r="A5" s="11" t="s">
        <v>64</v>
      </c>
      <c r="B5" s="22" t="n">
        <v>41870</v>
      </c>
    </row>
    <row r="6" customFormat="false" ht="15" hidden="false" customHeight="true" outlineLevel="0" collapsed="false">
      <c r="A6" s="11" t="s">
        <v>65</v>
      </c>
      <c r="B6" s="22" t="n">
        <v>200000</v>
      </c>
    </row>
    <row r="7" customFormat="false" ht="15" hidden="false" customHeight="true" outlineLevel="0" collapsed="false">
      <c r="A7" s="11" t="s">
        <v>66</v>
      </c>
      <c r="B7" s="12" t="n">
        <v>2.38</v>
      </c>
    </row>
    <row r="9" customFormat="false" ht="15" hidden="false" customHeight="true" outlineLevel="0" collapsed="false">
      <c r="A9" s="11" t="s">
        <v>67</v>
      </c>
      <c r="B9" s="23" t="n">
        <f aca="false">B4/B5</f>
        <v>4.00938619536661</v>
      </c>
    </row>
    <row r="10" customFormat="false" ht="15" hidden="false" customHeight="true" outlineLevel="0" collapsed="false">
      <c r="A10" s="11" t="s">
        <v>68</v>
      </c>
      <c r="B10" s="17" t="n">
        <f aca="false">B3/LN(2)</f>
        <v>2.88539008177793</v>
      </c>
    </row>
    <row r="11" customFormat="false" ht="15" hidden="false" customHeight="true" outlineLevel="0" collapsed="false">
      <c r="A11" s="16" t="s">
        <v>69</v>
      </c>
      <c r="B11" s="17" t="n">
        <f aca="false">B10/B9</f>
        <v>0.719658805907095</v>
      </c>
    </row>
    <row r="12" customFormat="false" ht="15" hidden="false" customHeight="true" outlineLevel="0" collapsed="false">
      <c r="A12" s="11" t="s">
        <v>70</v>
      </c>
      <c r="B12" s="24" t="n">
        <f aca="false">ROUNDUP(LOG(B6,2),0)</f>
        <v>18</v>
      </c>
    </row>
    <row r="13" customFormat="false" ht="15" hidden="false" customHeight="true" outlineLevel="0" collapsed="false">
      <c r="A13" s="11" t="s">
        <v>71</v>
      </c>
      <c r="B13" s="23" t="n">
        <f aca="false">LOG(B6,2)</f>
        <v>17.6096404744368</v>
      </c>
    </row>
    <row r="14" customFormat="false" ht="15" hidden="false" customHeight="true" outlineLevel="0" collapsed="false">
      <c r="A14" s="11" t="s">
        <v>72</v>
      </c>
      <c r="B14" s="23" t="n">
        <f aca="false">B13/B9</f>
        <v>4.39210383244875</v>
      </c>
    </row>
    <row r="15" customFormat="false" ht="15" hidden="false" customHeight="true" outlineLevel="0" collapsed="false">
      <c r="A15" s="11" t="s">
        <v>73</v>
      </c>
      <c r="B15" s="25" t="n">
        <f aca="false">B10*B5/8/1000</f>
        <v>15.1014103405052</v>
      </c>
    </row>
    <row r="16" customFormat="false" ht="15" hidden="false" customHeight="true" outlineLevel="0" collapsed="false">
      <c r="A16" s="11" t="s">
        <v>74</v>
      </c>
      <c r="B16" s="25" t="n">
        <f aca="false">B4/1000</f>
        <v>167.873</v>
      </c>
    </row>
    <row r="17" customFormat="false" ht="15" hidden="false" customHeight="true" outlineLevel="0" collapsed="false">
      <c r="A17" s="11" t="s">
        <v>75</v>
      </c>
      <c r="B17" s="26" t="n">
        <f aca="false">B15/B16</f>
        <v>0.0899573507383869</v>
      </c>
    </row>
    <row r="18" customFormat="false" ht="15" hidden="false" customHeight="true" outlineLevel="0" collapsed="false">
      <c r="A18" s="11" t="s">
        <v>76</v>
      </c>
      <c r="B18" s="27" t="n">
        <f aca="false">8/B11</f>
        <v>11.1163789483773</v>
      </c>
    </row>
    <row r="19" customFormat="false" ht="15" hidden="false" customHeight="true" outlineLevel="0" collapsed="false">
      <c r="A19" s="11" t="s">
        <v>77</v>
      </c>
      <c r="B19" s="27" t="n">
        <f aca="false">B7/B11</f>
        <v>3.30712273714226</v>
      </c>
    </row>
    <row r="20" customFormat="false" ht="15" hidden="false" customHeight="true" outlineLevel="0" collapsed="false">
      <c r="A20" s="11" t="s">
        <v>78</v>
      </c>
      <c r="B20" s="23" t="n">
        <f aca="false">EXP(B3)</f>
        <v>7.38905609893065</v>
      </c>
    </row>
    <row r="22" customFormat="false" ht="15" hidden="false" customHeight="true" outlineLevel="0" collapsed="false">
      <c r="A22" s="21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24"/>
    <col collapsed="false" customWidth="true" hidden="false" outlineLevel="0" max="3" min="3" style="1" width="26"/>
  </cols>
  <sheetData>
    <row r="1" customFormat="false" ht="15.75" hidden="false" customHeight="true" outlineLevel="0" collapsed="false">
      <c r="A1" s="10" t="s">
        <v>80</v>
      </c>
    </row>
    <row r="3" customFormat="false" ht="15" hidden="false" customHeight="true" outlineLevel="0" collapsed="false">
      <c r="A3" s="11" t="s">
        <v>81</v>
      </c>
      <c r="B3" s="28" t="n">
        <v>20</v>
      </c>
    </row>
    <row r="4" customFormat="false" ht="15" hidden="false" customHeight="true" outlineLevel="0" collapsed="false">
      <c r="A4" s="11" t="s">
        <v>82</v>
      </c>
      <c r="B4" s="28" t="n">
        <v>20</v>
      </c>
    </row>
    <row r="5" customFormat="false" ht="15" hidden="false" customHeight="true" outlineLevel="0" collapsed="false">
      <c r="A5" s="11" t="s">
        <v>83</v>
      </c>
      <c r="B5" s="29" t="n">
        <v>50</v>
      </c>
    </row>
    <row r="6" customFormat="false" ht="15" hidden="false" customHeight="true" outlineLevel="0" collapsed="false">
      <c r="A6" s="11" t="s">
        <v>84</v>
      </c>
      <c r="B6" s="28" t="n">
        <v>17.6</v>
      </c>
    </row>
    <row r="7" customFormat="false" ht="15" hidden="false" customHeight="true" outlineLevel="0" collapsed="false">
      <c r="A7" s="11" t="s">
        <v>85</v>
      </c>
      <c r="B7" s="14" t="n">
        <v>2.885</v>
      </c>
    </row>
    <row r="8" customFormat="false" ht="15" hidden="false" customHeight="true" outlineLevel="0" collapsed="false">
      <c r="A8" s="11" t="s">
        <v>67</v>
      </c>
      <c r="B8" s="28" t="n">
        <v>4</v>
      </c>
    </row>
    <row r="9" customFormat="false" ht="15" hidden="false" customHeight="true" outlineLevel="0" collapsed="false">
      <c r="A9" s="11" t="s">
        <v>86</v>
      </c>
      <c r="B9" s="22" t="n">
        <v>100000</v>
      </c>
    </row>
    <row r="11" customFormat="false" ht="15" hidden="false" customHeight="true" outlineLevel="0" collapsed="false">
      <c r="A11" s="11" t="s">
        <v>87</v>
      </c>
      <c r="B11" s="25" t="n">
        <f aca="false">10^(B4/10)</f>
        <v>100</v>
      </c>
    </row>
    <row r="12" customFormat="false" ht="15" hidden="false" customHeight="true" outlineLevel="0" collapsed="false">
      <c r="A12" s="11" t="s">
        <v>88</v>
      </c>
      <c r="B12" s="17" t="n">
        <f aca="false">LOG(1+B11,2)</f>
        <v>6.6582114827518</v>
      </c>
    </row>
    <row r="13" customFormat="false" ht="15" hidden="false" customHeight="true" outlineLevel="0" collapsed="false">
      <c r="A13" s="16" t="s">
        <v>89</v>
      </c>
      <c r="B13" s="25" t="n">
        <f aca="false">B3*B12</f>
        <v>133.164229655036</v>
      </c>
    </row>
    <row r="14" customFormat="false" ht="15" hidden="false" customHeight="true" outlineLevel="0" collapsed="false">
      <c r="A14" s="11" t="s">
        <v>90</v>
      </c>
      <c r="B14" s="30" t="n">
        <f aca="false">B5*B6</f>
        <v>880</v>
      </c>
    </row>
    <row r="15" customFormat="false" ht="15" hidden="false" customHeight="true" outlineLevel="0" collapsed="false">
      <c r="A15" s="11" t="s">
        <v>91</v>
      </c>
      <c r="B15" s="30" t="n">
        <f aca="false">B5*B7</f>
        <v>144.25</v>
      </c>
    </row>
    <row r="16" customFormat="false" ht="15" hidden="false" customHeight="true" outlineLevel="0" collapsed="false">
      <c r="A16" s="11" t="s">
        <v>92</v>
      </c>
      <c r="B16" s="30" t="n">
        <f aca="false">B5*B8*8</f>
        <v>1600</v>
      </c>
    </row>
    <row r="17" customFormat="false" ht="15" hidden="false" customHeight="true" outlineLevel="0" collapsed="false">
      <c r="A17" s="11" t="s">
        <v>93</v>
      </c>
      <c r="B17" s="30" t="n">
        <f aca="false">B9*B8/1000</f>
        <v>400</v>
      </c>
    </row>
    <row r="18" customFormat="false" ht="15" hidden="false" customHeight="true" outlineLevel="0" collapsed="false">
      <c r="A18" s="11" t="s">
        <v>94</v>
      </c>
      <c r="B18" s="17" t="n">
        <f aca="false">B9*B8*8/(B13*1000000)</f>
        <v>0.0240304773157901</v>
      </c>
    </row>
    <row r="20" customFormat="false" ht="15" hidden="false" customHeight="true" outlineLevel="0" collapsed="false">
      <c r="A20" s="13" t="s">
        <v>95</v>
      </c>
      <c r="B20" s="13" t="s">
        <v>96</v>
      </c>
      <c r="C20" s="13" t="s">
        <v>97</v>
      </c>
    </row>
    <row r="21" customFormat="false" ht="15" hidden="false" customHeight="true" outlineLevel="0" collapsed="false">
      <c r="A21" s="29" t="n">
        <v>-10</v>
      </c>
      <c r="B21" s="31" t="n">
        <f aca="false">20*LOG(1+10^(A21/10),2)</f>
        <v>2.7500704749987</v>
      </c>
      <c r="C21" s="31" t="n">
        <f aca="false">100*LOG(1+10^(A21/10),2)</f>
        <v>13.7503523749935</v>
      </c>
    </row>
    <row r="22" customFormat="false" ht="15" hidden="false" customHeight="true" outlineLevel="0" collapsed="false">
      <c r="A22" s="29" t="n">
        <v>-5</v>
      </c>
      <c r="B22" s="31" t="n">
        <f aca="false">20*LOG(1+10^(A22/10),2)</f>
        <v>7.92818322326228</v>
      </c>
      <c r="C22" s="31" t="n">
        <f aca="false">100*LOG(1+10^(A22/10),2)</f>
        <v>39.6409161163114</v>
      </c>
    </row>
    <row r="23" customFormat="false" ht="15" hidden="false" customHeight="true" outlineLevel="0" collapsed="false">
      <c r="A23" s="29" t="n">
        <v>0</v>
      </c>
      <c r="B23" s="31" t="n">
        <f aca="false">20*LOG(1+10^(A23/10),2)</f>
        <v>20</v>
      </c>
      <c r="C23" s="31" t="n">
        <f aca="false">100*LOG(1+10^(A23/10),2)</f>
        <v>100</v>
      </c>
    </row>
    <row r="24" customFormat="false" ht="15" hidden="false" customHeight="true" outlineLevel="0" collapsed="false">
      <c r="A24" s="29" t="n">
        <v>5</v>
      </c>
      <c r="B24" s="31" t="n">
        <f aca="false">20*LOG(1+10^(A24/10),2)</f>
        <v>41.1474641721359</v>
      </c>
      <c r="C24" s="31" t="n">
        <f aca="false">100*LOG(1+10^(A24/10),2)</f>
        <v>205.73732086068</v>
      </c>
    </row>
    <row r="25" customFormat="false" ht="15" hidden="false" customHeight="true" outlineLevel="0" collapsed="false">
      <c r="A25" s="29" t="n">
        <v>10</v>
      </c>
      <c r="B25" s="31" t="n">
        <f aca="false">20*LOG(1+10^(A25/10),2)</f>
        <v>69.188632372746</v>
      </c>
      <c r="C25" s="31" t="n">
        <f aca="false">100*LOG(1+10^(A25/10),2)</f>
        <v>345.94316186373</v>
      </c>
    </row>
    <row r="26" customFormat="false" ht="15" hidden="false" customHeight="true" outlineLevel="0" collapsed="false">
      <c r="A26" s="29" t="n">
        <v>15</v>
      </c>
      <c r="B26" s="31" t="n">
        <f aca="false">20*LOG(1+10^(A26/10),2)</f>
        <v>100.55615346701</v>
      </c>
      <c r="C26" s="31" t="n">
        <f aca="false">100*LOG(1+10^(A26/10),2)</f>
        <v>502.780767335052</v>
      </c>
    </row>
    <row r="27" customFormat="false" ht="15" hidden="false" customHeight="true" outlineLevel="0" collapsed="false">
      <c r="A27" s="29" t="n">
        <v>20</v>
      </c>
      <c r="B27" s="31" t="n">
        <f aca="false">20*LOG(1+10^(A27/10),2)</f>
        <v>133.164229655036</v>
      </c>
      <c r="C27" s="31" t="n">
        <f aca="false">100*LOG(1+10^(A27/10),2)</f>
        <v>665.82114827518</v>
      </c>
    </row>
    <row r="28" customFormat="false" ht="15" hidden="false" customHeight="true" outlineLevel="0" collapsed="false">
      <c r="A28" s="29" t="n">
        <v>25</v>
      </c>
      <c r="B28" s="31" t="n">
        <f aca="false">20*LOG(1+10^(A28/10),2)</f>
        <v>166.187504824256</v>
      </c>
      <c r="C28" s="31" t="n">
        <f aca="false">100*LOG(1+10^(A28/10),2)</f>
        <v>830.937524121281</v>
      </c>
    </row>
    <row r="29" customFormat="false" ht="15" hidden="false" customHeight="true" outlineLevel="0" collapsed="false">
      <c r="A29" s="29" t="n">
        <v>30</v>
      </c>
      <c r="B29" s="31" t="n">
        <f aca="false">20*LOG(1+10^(A29/10),2)</f>
        <v>199.34452517672</v>
      </c>
      <c r="C29" s="31" t="n">
        <f aca="false">100*LOG(1+10^(A29/10),2)</f>
        <v>996.722625883599</v>
      </c>
    </row>
    <row r="30" customFormat="false" ht="15" hidden="false" customHeight="true" outlineLevel="0" collapsed="false">
      <c r="A30" s="29" t="n">
        <v>35</v>
      </c>
      <c r="B30" s="31" t="n">
        <f aca="false">20*LOG(1+10^(A30/10),2)</f>
        <v>232.544089604321</v>
      </c>
      <c r="C30" s="31" t="n">
        <f aca="false">100*LOG(1+10^(A30/10),2)</f>
        <v>1162.7204480216</v>
      </c>
    </row>
    <row r="31" customFormat="false" ht="15" hidden="false" customHeight="true" outlineLevel="0" collapsed="false">
      <c r="A31" s="29" t="n">
        <v>40</v>
      </c>
      <c r="B31" s="31" t="n">
        <f aca="false">20*LOG(1+10^(A31/10),2)</f>
        <v>265.757132836811</v>
      </c>
      <c r="C31" s="31" t="n">
        <f aca="false">100*LOG(1+10^(A31/10),2)</f>
        <v>1328.78566418405</v>
      </c>
    </row>
    <row r="33" customFormat="false" ht="15" hidden="false" customHeight="true" outlineLevel="0" collapsed="false">
      <c r="A33" s="21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2026-10-02T13:46:43Z</dcterms:created>
  <dc:creator>Leonhard Korowajczuk</dc:creator>
  <dc:description/>
  <dc:language>en-US</dc:language>
  <cp:lastModifiedBy>Leonhard Korowajczuk</cp:lastModifiedBy>
  <dcterms:modified xsi:type="dcterms:W3CDTF">2026-10-26T14:20:12Z</dcterms:modified>
  <cp:revision>0</cp:revision>
  <dc:subject/>
  <dc:title>Information Theory: Shannon’s Foundations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