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pus Size" sheetId="2" state="visible" r:id="rId4"/>
    <sheet name="Scaling Laws" sheetId="3" state="visible" r:id="rId5"/>
    <sheet name="Sharding" sheetId="4" state="visible" r:id="rId6"/>
    <sheet name="Pipeline Bubble" sheetId="5" state="visible" r:id="rId7"/>
    <sheet name="Training Cost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<sst xmlns="http://schemas.openxmlformats.org/spreadsheetml/2006/main" count="150" uniqueCount="136">
  <si>
    <t xml:space="preserve">Chapter 10 — Pretraining at Scale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</si>
  <si>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</si>
  <si>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</si>
  <si>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</si>
  <si>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</si>
  <si>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Corpus Size</t>
  </si>
  <si>
    <t xml:space="preserve">A 15-trillion-token corpus in bytes, books, reading time and storage.</t>
  </si>
  <si>
    <t xml:space="preserve">Worked Example 10.1</t>
  </si>
  <si>
    <t xml:space="preserve">Scaling Laws</t>
  </si>
  <si>
    <t xml:space="preserve">The Chinchilla loss fit, the compute-optimal split, the compute-optimal size that matches an overtrained model, inference cost, and one isoFLOP curve.</t>
  </si>
  <si>
    <t xml:space="preserve">Worked Example 10.2, Figure 10.2</t>
  </si>
  <si>
    <t xml:space="preserve">Sharding</t>
  </si>
  <si>
    <t xml:space="preserve">Training-state memory per GPU with ZeRO / FSDP, and the activation memory of one sequence.</t>
  </si>
  <si>
    <t xml:space="preserve">Worked Example 10.3, Figure 10.4</t>
  </si>
  <si>
    <t xml:space="preserve">Pipeline Bubble</t>
  </si>
  <si>
    <t xml:space="preserve">Idle fraction of the simple pipeline schedule and the batch it implies.</t>
  </si>
  <si>
    <t xml:space="preserve">Worked Example 10.4</t>
  </si>
  <si>
    <t xml:space="preserve">Training Cost</t>
  </si>
  <si>
    <t xml:space="preserve">GPU-hours, time, energy and rental cost of a run, against the reported figures.</t>
  </si>
  <si>
    <t xml:space="preserve">Worked Example 10.5, Table 10.3</t>
  </si>
  <si>
    <t xml:space="preserve">Notes</t>
  </si>
  <si>
    <t xml:space="preserve">Scaling-law constants: Chinchilla fit as re-estimated by Besiroglu et al. (2024).</t>
  </si>
  <si>
    <t xml:space="preserve">Units are decimal (1 GB = 10^9 bytes, 1 TB = 10^12 bytes).</t>
  </si>
  <si>
    <t xml:space="preserve">How Big Is a Pretraining Corpus? (Worked Example 10.1)</t>
  </si>
  <si>
    <t xml:space="preserve">Training tokens</t>
  </si>
  <si>
    <t xml:space="preserve">Bytes (characters) per token</t>
  </si>
  <si>
    <t xml:space="preserve">Tokens per word</t>
  </si>
  <si>
    <t xml:space="preserve">Words per book</t>
  </si>
  <si>
    <t xml:space="preserve">Reading speed (words/min)</t>
  </si>
  <si>
    <t xml:space="preserve">Reading hours per day</t>
  </si>
  <si>
    <t xml:space="preserve">Model parameters</t>
  </si>
  <si>
    <t xml:space="preserve">Quantity</t>
  </si>
  <si>
    <t xml:space="preserve">Value</t>
  </si>
  <si>
    <t xml:space="preserve">Plain text (TB)</t>
  </si>
  <si>
    <t xml:space="preserve">Words</t>
  </si>
  <si>
    <t xml:space="preserve">Books</t>
  </si>
  <si>
    <t xml:space="preserve">Years of reading</t>
  </si>
  <si>
    <t xml:space="preserve">Tokens per parameter</t>
  </si>
  <si>
    <t xml:space="preserve">Model size BF16 (GB)</t>
  </si>
  <si>
    <t xml:space="preserve">Tokens per book</t>
  </si>
  <si>
    <t xml:space="preserve">Words read per day</t>
  </si>
  <si>
    <t xml:space="preserve">Days of reading (millions)</t>
  </si>
  <si>
    <t xml:space="preserve">Token IDs stored as 32-bit integers, 4 bytes each (TB)</t>
  </si>
  <si>
    <t xml:space="preserve">Corpus (plain text) ÷ model size in BF16</t>
  </si>
  <si>
    <t xml:space="preserve">About 4 characters (bytes) per token for English: Appendix B, Worked Example B.3. Tokens per parameter (row 15) is the overtraining ratio of Section 10.2.3.</t>
  </si>
  <si>
    <t xml:space="preserve">Chinchilla-Style Loss and Compute-Optimal Size (Worked Example 10.2)</t>
  </si>
  <si>
    <t xml:space="preserve">E (irreducible loss)</t>
  </si>
  <si>
    <t xml:space="preserve">A (fitted constant)</t>
  </si>
  <si>
    <t xml:space="preserve">B (fitted constant, not the batch size B of Table P.2)</t>
  </si>
  <si>
    <t xml:space="preserve">α (exponent of N)</t>
  </si>
  <si>
    <t xml:space="preserve">β (exponent of D)</t>
  </si>
  <si>
    <t xml:space="preserve">Parameters N</t>
  </si>
  <si>
    <t xml:space="preserve">Tokens D</t>
  </si>
  <si>
    <t xml:space="preserve">Tokens per parameter for the compute-optimal split</t>
  </si>
  <si>
    <t xml:space="preserve">Compute C = 6ND (FLOPs)</t>
  </si>
  <si>
    <t xml:space="preserve">Loss L(N, D) (nats/token)</t>
  </si>
  <si>
    <t xml:space="preserve">Compute-optimal N = √(C ÷ (6·ratio))</t>
  </si>
  <si>
    <t xml:space="preserve">Compute-optimal D</t>
  </si>
  <si>
    <t xml:space="preserve">Loss of the compute-optimal model</t>
  </si>
  <si>
    <t xml:space="preserve">Loss difference (overtrained − optimal)</t>
  </si>
  <si>
    <t xml:space="preserve">Size ratio (optimal ÷ chosen)</t>
  </si>
  <si>
    <t xml:space="preserve">Loss difference ÷ loss of the chosen model</t>
  </si>
  <si>
    <t xml:space="preserve">Loss difference ÷ reducible loss of the compute-optimal model (above E)</t>
  </si>
  <si>
    <t xml:space="preserve">Compute-optimal model (D = ratio × N) with the same loss as the chosen one</t>
  </si>
  <si>
    <t xml:space="preserve">Start: the chosen N</t>
  </si>
  <si>
    <t xml:space="preserve">Newton step 1 in ln N</t>
  </si>
  <si>
    <t xml:space="preserve">Newton step 2 in ln N</t>
  </si>
  <si>
    <t xml:space="preserve">Newton step 3 in ln N</t>
  </si>
  <si>
    <t xml:space="preserve">Newton step 4 in ln N</t>
  </si>
  <si>
    <t xml:space="preserve">Parameters of the compute-optimal model with the same loss</t>
  </si>
  <si>
    <t xml:space="preserve">Multiple of the chosen size</t>
  </si>
  <si>
    <t xml:space="preserve">Check: loss of that model</t>
  </si>
  <si>
    <t xml:space="preserve">Inference (Worked Example 10.2)</t>
  </si>
  <si>
    <t xml:space="preserve">Parameters of the chosen model outside the input embedding</t>
  </si>
  <si>
    <t xml:space="preserve">Bits per weight at inference (Section 2.4)</t>
  </si>
  <si>
    <t xml:space="preserve">GFLOPs per generated token, chosen model (2 per parameter)</t>
  </si>
  <si>
    <t xml:space="preserve">Weights of the chosen model (GB)</t>
  </si>
  <si>
    <t xml:space="preserve">Weights of the compute-optimal model (GB)</t>
  </si>
  <si>
    <t xml:space="preserve">N (parameters)</t>
  </si>
  <si>
    <t xml:space="preserve">D at the same C</t>
  </si>
  <si>
    <t xml:space="preserve">Loss</t>
  </si>
  <si>
    <t xml:space="preserve">Rows 40–48 trace one isoFLOP curve of Figure 10.2: predicted loss against model size at the compute of Llama 3 8B. Losses are in nats per token in Chinchilla’s tokenizer units, extrapolated far beyond the fit’s data: treat them as an illustration.</t>
  </si>
  <si>
    <t xml:space="preserve">Training-State Memory per GPU with ZeRO / FSDP (Worked Example 10.3, Figure 10.4)</t>
  </si>
  <si>
    <t xml:space="preserve">Parameters</t>
  </si>
  <si>
    <t xml:space="preserve">Data-parallel GPUs</t>
  </si>
  <si>
    <t xml:space="preserve">Bytes: BF16 weights</t>
  </si>
  <si>
    <t xml:space="preserve">Bytes: BF16 gradients</t>
  </si>
  <si>
    <t xml:space="preserve">Bytes: FP32 master + Adam states</t>
  </si>
  <si>
    <t xml:space="preserve">GPU memory (GB)</t>
  </si>
  <si>
    <t xml:space="preserve">Bytes per parameter per GPU</t>
  </si>
  <si>
    <t xml:space="preserve">No sharding (GB/GPU)</t>
  </si>
  <si>
    <t xml:space="preserve">ZeRO-1 (GB/GPU)</t>
  </si>
  <si>
    <t xml:space="preserve">ZeRO-2 (GB/GPU)</t>
  </si>
  <si>
    <t xml:space="preserve">ZeRO-3 / FSDP (GB/GPU)</t>
  </si>
  <si>
    <t xml:space="preserve">Memory left for activations with ZeRO-3 (GB)</t>
  </si>
  <si>
    <t xml:space="preserve">Activations of one sequence (Worked Example 10.3, Reading)</t>
  </si>
  <si>
    <t xml:space="preserve">Hidden size d (a 70B model such as Llama 3 70B)</t>
  </si>
  <si>
    <t xml:space="preserve">Layers</t>
  </si>
  <si>
    <t xml:space="preserve">Sequence length (tokens)</t>
  </si>
  <si>
    <t xml:space="preserve">Bytes stored per token per layer ÷ d, attention matrix not stored</t>
  </si>
  <si>
    <t xml:space="preserve">Bytes kept per token per layer ÷ d with activation checkpointing (layer input)</t>
  </si>
  <si>
    <t xml:space="preserve">Activations without recomputation (GB)</t>
  </si>
  <si>
    <t xml:space="preserve">Activations kept with activation checkpointing (GB)</t>
  </si>
  <si>
    <t xml:space="preserve">Activations without recomputation ÷ memory left with ZeRO-3</t>
  </si>
  <si>
    <t xml:space="preserve">Activation estimate after Korthikanti et al. (2022): about 34·s·d bytes per layer for one sequence in 16-bit precision when the attention matrix is not stored (FlashAttention); checkpointing keeps only each layer’s 16-bit input, 2·s·d bytes.</t>
  </si>
  <si>
    <t xml:space="preserve">Pipeline Bubble Fraction (Worked Example 10.4)</t>
  </si>
  <si>
    <t xml:space="preserve">Pipeline stages p</t>
  </si>
  <si>
    <t xml:space="preserve">Micro-batches per step m</t>
  </si>
  <si>
    <t xml:space="preserve">Sequences per micro-batch</t>
  </si>
  <si>
    <t xml:space="preserve">Tokens per sequence</t>
  </si>
  <si>
    <t xml:space="preserve">Bubble fraction (p − 1) ÷ (m + p − 1)</t>
  </si>
  <si>
    <t xml:space="preserve">Sequences per replica per step</t>
  </si>
  <si>
    <t xml:space="preserve">Tokens per replica per step</t>
  </si>
  <si>
    <t xml:space="preserve">Bubble fraction at p in B3</t>
  </si>
  <si>
    <t xml:space="preserve">Simple (GPipe) schedule: every stage runs all its forward passes, then all its backward passes. Interleaved schedules and DualPipe reduce the bubble further (Section 10.4.2); Figure 10.5 shows p = 4, m = 4.</t>
  </si>
  <si>
    <t xml:space="preserve">Estimating a Training Run (Worked Example 10.5)</t>
  </si>
  <si>
    <t xml:space="preserve">Input</t>
  </si>
  <si>
    <t xml:space="preserve">Llama 3.1 405B</t>
  </si>
  <si>
    <t xml:space="preserve">Llama 3 8B</t>
  </si>
  <si>
    <t xml:space="preserve">Parameters (active, for MoE)</t>
  </si>
  <si>
    <t xml:space="preserve">GPU peak, dense BF16 (TFLOP/s)</t>
  </si>
  <si>
    <t xml:space="preserve">Model FLOPs utilization (MFU)</t>
  </si>
  <si>
    <t xml:space="preserve">GPUs</t>
  </si>
  <si>
    <t xml:space="preserve">GPU power (kW)</t>
  </si>
  <si>
    <t xml:space="preserve">Price per GPU-hour ($)</t>
  </si>
  <si>
    <t xml:space="preserve">Compute 6ND (FLOPs)</t>
  </si>
  <si>
    <t xml:space="preserve">Sustained per GPU (TFLOP/s)</t>
  </si>
  <si>
    <t xml:space="preserve">GPU-hours (millions)</t>
  </si>
  <si>
    <t xml:space="preserve">Hours on the given GPUs</t>
  </si>
  <si>
    <t xml:space="preserve">Days on the given GPUs</t>
  </si>
  <si>
    <t xml:space="preserve">GPU energy (GWh)</t>
  </si>
  <si>
    <t xml:space="preserve">Rental cost ($ millions)</t>
  </si>
  <si>
    <t xml:space="preserve">Reported GPU-hours (millions, Table 10.3)</t>
  </si>
  <si>
    <t xml:space="preserve">Reported ÷ estimated GPU-hours</t>
  </si>
  <si>
    <t xml:space="preserve">Days with the reported GPU-hours on the given GPUs</t>
  </si>
  <si>
    <t xml:space="preserve">MFU (model FLOPs utilization) = share of the GPUs’ peak arithmetic used for the model’s 6·N·D operations. Reported totals include work beyond the final run’s arithmetic; Table 1.16 gives about 78 days at full scale for Llama 3.1 405B.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</si>
</sst>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E+00"/>
    <numFmt numFmtId="166" formatCode="0.0"/>
    <numFmt numFmtId="167" formatCode="0.00"/>
    <numFmt numFmtId="168" formatCode="#,##0"/>
    <numFmt numFmtId="169" formatCode="0"/>
    <numFmt numFmtId="170" formatCode="#,##0.0"/>
    <numFmt numFmtId="171" formatCode="0.0000"/>
    <numFmt numFmtId="172" formatCode="0.0%"/>
    <numFmt numFmtId="173" formatCode="0%"/>
    <numFmt numFmtId="174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15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30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8" t="s">
        <v>20</v>
      </c>
    </row>
    <row r="12" customFormat="false" ht="15" hidden="false" customHeight="true" outlineLevel="0" collapsed="false">
      <c r="A12" s="9" t="s">
        <v>21</v>
      </c>
      <c r="B12" s="9"/>
      <c r="C12" s="9"/>
    </row>
    <row r="13" customFormat="false" ht="15" hidden="false" customHeight="true" outlineLevel="0" collapsed="false">
      <c r="A13" s="9" t="s">
        <v>22</v>
      </c>
      <c r="B13" s="9"/>
      <c r="C13" s="9"/>
    </row>
    <row r="14" customFormat="false" ht="15" hidden="false" customHeight="true" outlineLevel="0" collapsed="false">
      <c r="A14" s="4"/>
    </row>
  </sheetData>
  <mergeCells count="3">
    <mergeCell ref="A2:C2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10" t="s">
        <v>23</v>
      </c>
    </row>
    <row r="3" customFormat="false" ht="15" hidden="false" customHeight="true" outlineLevel="0" collapsed="false">
      <c r="A3" s="11" t="s">
        <v>24</v>
      </c>
      <c r="B3" s="12" t="n">
        <v>15000000000000</v>
      </c>
    </row>
    <row r="4" customFormat="false" ht="15" hidden="false" customHeight="true" outlineLevel="0" collapsed="false">
      <c r="A4" s="11" t="s">
        <v>25</v>
      </c>
      <c r="B4" s="13" t="n">
        <v>4</v>
      </c>
    </row>
    <row r="5" customFormat="false" ht="15" hidden="false" customHeight="true" outlineLevel="0" collapsed="false">
      <c r="A5" s="11" t="s">
        <v>26</v>
      </c>
      <c r="B5" s="14" t="n">
        <v>1.3</v>
      </c>
    </row>
    <row r="6" customFormat="false" ht="15" hidden="false" customHeight="true" outlineLevel="0" collapsed="false">
      <c r="A6" s="11" t="s">
        <v>27</v>
      </c>
      <c r="B6" s="15" t="n">
        <v>100000</v>
      </c>
    </row>
    <row r="7" customFormat="false" ht="15" hidden="false" customHeight="true" outlineLevel="0" collapsed="false">
      <c r="A7" s="11" t="s">
        <v>28</v>
      </c>
      <c r="B7" s="15" t="n">
        <v>250</v>
      </c>
    </row>
    <row r="8" customFormat="false" ht="15" hidden="false" customHeight="true" outlineLevel="0" collapsed="false">
      <c r="A8" s="11" t="s">
        <v>29</v>
      </c>
      <c r="B8" s="16" t="n">
        <v>8</v>
      </c>
    </row>
    <row r="9" customFormat="false" ht="15" hidden="false" customHeight="true" outlineLevel="0" collapsed="false">
      <c r="A9" s="11" t="s">
        <v>30</v>
      </c>
      <c r="B9" s="12" t="n">
        <v>8000000000</v>
      </c>
    </row>
    <row r="10" customFormat="false" ht="15" hidden="false" customHeight="true" outlineLevel="0" collapsed="false">
      <c r="A10" s="17" t="s">
        <v>31</v>
      </c>
      <c r="B10" s="17" t="s">
        <v>32</v>
      </c>
    </row>
    <row r="11" customFormat="false" ht="15" hidden="false" customHeight="true" outlineLevel="0" collapsed="false">
      <c r="A11" s="11" t="s">
        <v>33</v>
      </c>
      <c r="B11" s="18" t="n">
        <f aca="false">B3*B4/1000000000000</f>
        <v>60</v>
      </c>
    </row>
    <row r="12" customFormat="false" ht="15" hidden="false" customHeight="true" outlineLevel="0" collapsed="false">
      <c r="A12" s="11" t="s">
        <v>34</v>
      </c>
      <c r="B12" s="19" t="n">
        <f aca="false">B3/B5</f>
        <v>11538461538461.5</v>
      </c>
    </row>
    <row r="13" customFormat="false" ht="15" hidden="false" customHeight="true" outlineLevel="0" collapsed="false">
      <c r="A13" s="11" t="s">
        <v>35</v>
      </c>
      <c r="B13" s="18" t="n">
        <f aca="false">B12/B6</f>
        <v>115384615.384615</v>
      </c>
    </row>
    <row r="14" customFormat="false" ht="15" hidden="false" customHeight="true" outlineLevel="0" collapsed="false">
      <c r="A14" s="11" t="s">
        <v>36</v>
      </c>
      <c r="B14" s="18" t="n">
        <f aca="false">B12/(B7*60*B8)/365</f>
        <v>263435.194942044</v>
      </c>
    </row>
    <row r="15" customFormat="false" ht="15" hidden="false" customHeight="true" outlineLevel="0" collapsed="false">
      <c r="A15" s="11" t="s">
        <v>37</v>
      </c>
      <c r="B15" s="18" t="n">
        <f aca="false">B3/B9</f>
        <v>1875</v>
      </c>
    </row>
    <row r="16" customFormat="false" ht="15" hidden="false" customHeight="true" outlineLevel="0" collapsed="false">
      <c r="A16" s="11" t="s">
        <v>38</v>
      </c>
      <c r="B16" s="20" t="n">
        <f aca="false">B9*2/1000000000</f>
        <v>16</v>
      </c>
    </row>
    <row r="17" customFormat="false" ht="15" hidden="false" customHeight="true" outlineLevel="0" collapsed="false">
      <c r="A17" s="11" t="s">
        <v>39</v>
      </c>
      <c r="B17" s="18" t="n">
        <f aca="false">B6*B5</f>
        <v>130000</v>
      </c>
    </row>
    <row r="18" customFormat="false" ht="15" hidden="false" customHeight="true" outlineLevel="0" collapsed="false">
      <c r="A18" s="11" t="s">
        <v>40</v>
      </c>
      <c r="B18" s="18" t="n">
        <f aca="false">B7*60*B8</f>
        <v>120000</v>
      </c>
    </row>
    <row r="19" customFormat="false" ht="15" hidden="false" customHeight="true" outlineLevel="0" collapsed="false">
      <c r="A19" s="11" t="s">
        <v>41</v>
      </c>
      <c r="B19" s="20" t="n">
        <f aca="false">B12/B18/1000000</f>
        <v>96.1538461538462</v>
      </c>
    </row>
    <row r="20" customFormat="false" ht="15" hidden="false" customHeight="true" outlineLevel="0" collapsed="false">
      <c r="A20" s="11" t="s">
        <v>42</v>
      </c>
      <c r="B20" s="18" t="n">
        <f aca="false">B3*4/1000000000000</f>
        <v>60</v>
      </c>
    </row>
    <row r="21" customFormat="false" ht="15" hidden="false" customHeight="true" outlineLevel="0" collapsed="false">
      <c r="A21" s="11" t="s">
        <v>43</v>
      </c>
      <c r="B21" s="18" t="n">
        <f aca="false">B11*1000/B16</f>
        <v>3750</v>
      </c>
    </row>
    <row r="23" customFormat="false" ht="15" hidden="false" customHeight="true" outlineLevel="0" collapsed="false">
      <c r="A23" s="2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10" t="s">
        <v>45</v>
      </c>
    </row>
    <row r="3" customFormat="false" ht="15" hidden="false" customHeight="true" outlineLevel="0" collapsed="false">
      <c r="A3" s="11" t="s">
        <v>46</v>
      </c>
      <c r="B3" s="22" t="n">
        <v>1.8172</v>
      </c>
    </row>
    <row r="4" customFormat="false" ht="15" hidden="false" customHeight="true" outlineLevel="0" collapsed="false">
      <c r="A4" s="11" t="s">
        <v>47</v>
      </c>
      <c r="B4" s="14" t="n">
        <v>482.01</v>
      </c>
    </row>
    <row r="5" customFormat="false" ht="15" hidden="false" customHeight="true" outlineLevel="0" collapsed="false">
      <c r="A5" s="11" t="s">
        <v>48</v>
      </c>
      <c r="B5" s="14" t="n">
        <v>2085.43</v>
      </c>
    </row>
    <row r="6" customFormat="false" ht="15" hidden="false" customHeight="true" outlineLevel="0" collapsed="false">
      <c r="A6" s="11" t="s">
        <v>49</v>
      </c>
      <c r="B6" s="22" t="n">
        <v>0.3478</v>
      </c>
    </row>
    <row r="7" customFormat="false" ht="15" hidden="false" customHeight="true" outlineLevel="0" collapsed="false">
      <c r="A7" s="11" t="s">
        <v>50</v>
      </c>
      <c r="B7" s="22" t="n">
        <v>0.3658</v>
      </c>
    </row>
    <row r="8" customFormat="false" ht="15" hidden="false" customHeight="true" outlineLevel="0" collapsed="false">
      <c r="A8" s="11" t="s">
        <v>51</v>
      </c>
      <c r="B8" s="12" t="n">
        <v>8000000000</v>
      </c>
    </row>
    <row r="9" customFormat="false" ht="15" hidden="false" customHeight="true" outlineLevel="0" collapsed="false">
      <c r="A9" s="11" t="s">
        <v>52</v>
      </c>
      <c r="B9" s="12" t="n">
        <v>15000000000000</v>
      </c>
    </row>
    <row r="10" customFormat="false" ht="15" hidden="false" customHeight="true" outlineLevel="0" collapsed="false">
      <c r="A10" s="11" t="s">
        <v>53</v>
      </c>
      <c r="B10" s="16" t="n">
        <v>20</v>
      </c>
    </row>
    <row r="11" customFormat="false" ht="15" hidden="false" customHeight="true" outlineLevel="0" collapsed="false">
      <c r="A11" s="17" t="s">
        <v>31</v>
      </c>
      <c r="B11" s="17" t="s">
        <v>32</v>
      </c>
    </row>
    <row r="12" customFormat="false" ht="15" hidden="false" customHeight="true" outlineLevel="0" collapsed="false">
      <c r="A12" s="11" t="s">
        <v>54</v>
      </c>
      <c r="B12" s="19" t="n">
        <f aca="false">6*B8*B9</f>
        <v>7.2E+023</v>
      </c>
    </row>
    <row r="13" customFormat="false" ht="15" hidden="false" customHeight="true" outlineLevel="0" collapsed="false">
      <c r="A13" s="11" t="s">
        <v>55</v>
      </c>
      <c r="B13" s="23" t="n">
        <f aca="false">B3+B4/B8^B6+B5/B9^B7</f>
        <v>2.02206292005167</v>
      </c>
    </row>
    <row r="14" customFormat="false" ht="15" hidden="false" customHeight="true" outlineLevel="0" collapsed="false">
      <c r="A14" s="11" t="s">
        <v>56</v>
      </c>
      <c r="B14" s="19" t="n">
        <f aca="false">SQRT(B12/(6*B10))</f>
        <v>77459666924.1483</v>
      </c>
    </row>
    <row r="15" customFormat="false" ht="15" hidden="false" customHeight="true" outlineLevel="0" collapsed="false">
      <c r="A15" s="11" t="s">
        <v>57</v>
      </c>
      <c r="B15" s="19" t="n">
        <f aca="false">B14*B10</f>
        <v>1549193338482.97</v>
      </c>
    </row>
    <row r="16" customFormat="false" ht="15" hidden="false" customHeight="true" outlineLevel="0" collapsed="false">
      <c r="A16" s="11" t="s">
        <v>58</v>
      </c>
      <c r="B16" s="23" t="n">
        <f aca="false">B3+B4/B14^B6+B5/B15^B7</f>
        <v>1.96832754937723</v>
      </c>
    </row>
    <row r="17" customFormat="false" ht="15" hidden="false" customHeight="true" outlineLevel="0" collapsed="false">
      <c r="A17" s="11" t="s">
        <v>59</v>
      </c>
      <c r="B17" s="23" t="n">
        <f aca="false">B13-B16</f>
        <v>0.053735370674437</v>
      </c>
    </row>
    <row r="18" customFormat="false" ht="15" hidden="false" customHeight="true" outlineLevel="0" collapsed="false">
      <c r="A18" s="11" t="s">
        <v>60</v>
      </c>
      <c r="B18" s="24" t="n">
        <f aca="false">B14/B8</f>
        <v>9.68245836551854</v>
      </c>
    </row>
    <row r="19" customFormat="false" ht="15" hidden="false" customHeight="true" outlineLevel="0" collapsed="false">
      <c r="A19" s="11" t="s">
        <v>61</v>
      </c>
      <c r="B19" s="25" t="n">
        <f aca="false">B17/B13</f>
        <v>0.0265745294775812</v>
      </c>
    </row>
    <row r="20" customFormat="false" ht="15" hidden="false" customHeight="true" outlineLevel="0" collapsed="false">
      <c r="A20" s="11" t="s">
        <v>62</v>
      </c>
      <c r="B20" s="25" t="n">
        <f aca="false">B17/(B16-B3)</f>
        <v>0.355563038611228</v>
      </c>
    </row>
    <row r="22" customFormat="false" ht="27" hidden="false" customHeight="true" outlineLevel="0" collapsed="false">
      <c r="A22" s="17" t="s">
        <v>63</v>
      </c>
      <c r="B22" s="17" t="s">
        <v>32</v>
      </c>
    </row>
    <row r="23" customFormat="false" ht="15" hidden="false" customHeight="true" outlineLevel="0" collapsed="false">
      <c r="A23" s="11" t="s">
        <v>64</v>
      </c>
      <c r="B23" s="26" t="n">
        <f aca="false">B8</f>
        <v>8000000000</v>
      </c>
    </row>
    <row r="24" customFormat="false" ht="15" hidden="false" customHeight="true" outlineLevel="0" collapsed="false">
      <c r="A24" s="11" t="s">
        <v>65</v>
      </c>
      <c r="B24" s="26" t="n">
        <f aca="false">B23*EXP(($B$3+$B$4/B23^$B$6+$B$5/($B$10*B23)^$B$7-$B$13)/($B$6*$B$4/B23^$B$6+$B$7*$B$5/($B$10*B23)^$B$7))</f>
        <v>24327605552.4378</v>
      </c>
    </row>
    <row r="25" customFormat="false" ht="15" hidden="false" customHeight="true" outlineLevel="0" collapsed="false">
      <c r="A25" s="11" t="s">
        <v>66</v>
      </c>
      <c r="B25" s="26" t="n">
        <f aca="false">B24*EXP(($B$3+$B$4/B24^$B$6+$B$5/($B$10*B24)^$B$7-$B$13)/($B$6*$B$4/B24^$B$6+$B$7*$B$5/($B$10*B24)^$B$7))</f>
        <v>32471081639.9914</v>
      </c>
    </row>
    <row r="26" customFormat="false" ht="15" hidden="false" customHeight="true" outlineLevel="0" collapsed="false">
      <c r="A26" s="11" t="s">
        <v>67</v>
      </c>
      <c r="B26" s="26" t="n">
        <f aca="false">B25*EXP(($B$3+$B$4/B25^$B$6+$B$5/($B$10*B25)^$B$7-$B$13)/($B$6*$B$4/B25^$B$6+$B$7*$B$5/($B$10*B25)^$B$7))</f>
        <v>32992569382.5081</v>
      </c>
    </row>
    <row r="27" customFormat="false" ht="15" hidden="false" customHeight="true" outlineLevel="0" collapsed="false">
      <c r="A27" s="11" t="s">
        <v>68</v>
      </c>
      <c r="B27" s="26" t="n">
        <f aca="false">B26*EXP(($B$3+$B$4/B26^$B$6+$B$5/($B$10*B26)^$B$7-$B$13)/($B$6*$B$4/B26^$B$6+$B$7*$B$5/($B$10*B26)^$B$7))</f>
        <v>32994068871.3091</v>
      </c>
    </row>
    <row r="28" customFormat="false" ht="15" hidden="false" customHeight="true" outlineLevel="0" collapsed="false">
      <c r="A28" s="11" t="s">
        <v>69</v>
      </c>
      <c r="B28" s="19" t="n">
        <f aca="false">B27</f>
        <v>32994068871.3091</v>
      </c>
    </row>
    <row r="29" customFormat="false" ht="15" hidden="false" customHeight="true" outlineLevel="0" collapsed="false">
      <c r="A29" s="11" t="s">
        <v>70</v>
      </c>
      <c r="B29" s="24" t="n">
        <f aca="false">B28/B8</f>
        <v>4.12425860891364</v>
      </c>
    </row>
    <row r="30" customFormat="false" ht="15" hidden="false" customHeight="true" outlineLevel="0" collapsed="false">
      <c r="A30" s="11" t="s">
        <v>71</v>
      </c>
      <c r="B30" s="27" t="n">
        <f aca="false">B3+B4/B28^B6+B5/(B10*B28)^B7</f>
        <v>2.02206292007858</v>
      </c>
    </row>
    <row r="32" customFormat="false" ht="15" hidden="false" customHeight="true" outlineLevel="0" collapsed="false">
      <c r="A32" s="17" t="s">
        <v>72</v>
      </c>
      <c r="B32" s="17" t="s">
        <v>32</v>
      </c>
    </row>
    <row r="33" customFormat="false" ht="15" hidden="false" customHeight="true" outlineLevel="0" collapsed="false">
      <c r="A33" s="11" t="s">
        <v>73</v>
      </c>
      <c r="B33" s="12" t="n">
        <v>7500000000</v>
      </c>
    </row>
    <row r="34" customFormat="false" ht="15" hidden="false" customHeight="true" outlineLevel="0" collapsed="false">
      <c r="A34" s="11" t="s">
        <v>74</v>
      </c>
      <c r="B34" s="13" t="n">
        <v>4.5</v>
      </c>
    </row>
    <row r="35" customFormat="false" ht="15" hidden="false" customHeight="true" outlineLevel="0" collapsed="false">
      <c r="A35" s="11" t="s">
        <v>75</v>
      </c>
      <c r="B35" s="24" t="n">
        <f aca="false">2*B33/1000000000</f>
        <v>15</v>
      </c>
    </row>
    <row r="36" customFormat="false" ht="15" hidden="false" customHeight="true" outlineLevel="0" collapsed="false">
      <c r="A36" s="11" t="s">
        <v>76</v>
      </c>
      <c r="B36" s="24" t="n">
        <f aca="false">B8*B34/8/1000000000</f>
        <v>4.5</v>
      </c>
    </row>
    <row r="37" customFormat="false" ht="15" hidden="false" customHeight="true" outlineLevel="0" collapsed="false">
      <c r="A37" s="11" t="s">
        <v>77</v>
      </c>
      <c r="B37" s="24" t="n">
        <f aca="false">B14*B34/8/1000000000</f>
        <v>43.5710626448334</v>
      </c>
    </row>
    <row r="39" customFormat="false" ht="15" hidden="false" customHeight="true" outlineLevel="0" collapsed="false">
      <c r="A39" s="17" t="s">
        <v>78</v>
      </c>
      <c r="B39" s="17" t="s">
        <v>79</v>
      </c>
      <c r="C39" s="17" t="s">
        <v>80</v>
      </c>
    </row>
    <row r="40" customFormat="false" ht="15" hidden="false" customHeight="true" outlineLevel="0" collapsed="false">
      <c r="A40" s="12" t="n">
        <v>1000000000</v>
      </c>
      <c r="B40" s="26" t="n">
        <f aca="false">$B$12/(6*A40)</f>
        <v>120000000000000</v>
      </c>
      <c r="C40" s="27" t="n">
        <f aca="false">$B$3+$B$4/A40^$B$6+$B$5/B40^$B$7</f>
        <v>2.18911255854328</v>
      </c>
    </row>
    <row r="41" customFormat="false" ht="15" hidden="false" customHeight="true" outlineLevel="0" collapsed="false">
      <c r="A41" s="12" t="n">
        <v>2000000000</v>
      </c>
      <c r="B41" s="26" t="n">
        <f aca="false">$B$12/(6*A41)</f>
        <v>60000000000000</v>
      </c>
      <c r="C41" s="27" t="n">
        <f aca="false">$B$3+$B$4/A41^$B$6+$B$5/B41^$B$7</f>
        <v>2.11686258505355</v>
      </c>
    </row>
    <row r="42" customFormat="false" ht="15" hidden="false" customHeight="true" outlineLevel="0" collapsed="false">
      <c r="A42" s="12" t="n">
        <v>4000000000</v>
      </c>
      <c r="B42" s="26" t="n">
        <f aca="false">$B$12/(6*A42)</f>
        <v>30000000000000</v>
      </c>
      <c r="C42" s="27" t="n">
        <f aca="false">$B$3+$B$4/A42^$B$6+$B$5/B42^$B$7</f>
        <v>2.06223145168317</v>
      </c>
    </row>
    <row r="43" customFormat="false" ht="15" hidden="false" customHeight="true" outlineLevel="0" collapsed="false">
      <c r="A43" s="12" t="n">
        <v>8000000000</v>
      </c>
      <c r="B43" s="26" t="n">
        <f aca="false">$B$12/(6*A43)</f>
        <v>15000000000000</v>
      </c>
      <c r="C43" s="27" t="n">
        <f aca="false">$B$3+$B$4/A43^$B$6+$B$5/B43^$B$7</f>
        <v>2.02206292005167</v>
      </c>
    </row>
    <row r="44" customFormat="false" ht="15" hidden="false" customHeight="true" outlineLevel="0" collapsed="false">
      <c r="A44" s="12" t="n">
        <v>16000000000</v>
      </c>
      <c r="B44" s="26" t="n">
        <f aca="false">$B$12/(6*A44)</f>
        <v>7500000000000</v>
      </c>
      <c r="C44" s="27" t="n">
        <f aca="false">$B$3+$B$4/A44^$B$6+$B$5/B44^$B$7</f>
        <v>1.99405524167259</v>
      </c>
    </row>
    <row r="45" customFormat="false" ht="15" hidden="false" customHeight="true" outlineLevel="0" collapsed="false">
      <c r="A45" s="12" t="n">
        <v>32000000000</v>
      </c>
      <c r="B45" s="26" t="n">
        <f aca="false">$B$12/(6*A45)</f>
        <v>3750000000000</v>
      </c>
      <c r="C45" s="27" t="n">
        <f aca="false">$B$3+$B$4/A45^$B$6+$B$5/B45^$B$7</f>
        <v>1.97662958579901</v>
      </c>
    </row>
    <row r="46" customFormat="false" ht="15" hidden="false" customHeight="true" outlineLevel="0" collapsed="false">
      <c r="A46" s="12" t="n">
        <v>64000000000</v>
      </c>
      <c r="B46" s="26" t="n">
        <f aca="false">$B$12/(6*A46)</f>
        <v>1875000000000</v>
      </c>
      <c r="C46" s="27" t="n">
        <f aca="false">$B$3+$B$4/A46^$B$6+$B$5/B46^$B$7</f>
        <v>1.96884150807114</v>
      </c>
    </row>
    <row r="47" customFormat="false" ht="15" hidden="false" customHeight="true" outlineLevel="0" collapsed="false">
      <c r="A47" s="12" t="n">
        <v>128000000000</v>
      </c>
      <c r="B47" s="26" t="n">
        <f aca="false">$B$12/(6*A47)</f>
        <v>937500000000</v>
      </c>
      <c r="C47" s="27" t="n">
        <f aca="false">$B$3+$B$4/A47^$B$6+$B$5/B47^$B$7</f>
        <v>1.97033052709518</v>
      </c>
    </row>
    <row r="48" customFormat="false" ht="15" hidden="false" customHeight="true" outlineLevel="0" collapsed="false">
      <c r="A48" s="12" t="n">
        <v>256000000000</v>
      </c>
      <c r="B48" s="26" t="n">
        <f aca="false">$B$12/(6*A48)</f>
        <v>468750000000</v>
      </c>
      <c r="C48" s="27" t="n">
        <f aca="false">$B$3+$B$4/A48^$B$6+$B$5/B48^$B$7</f>
        <v>1.98130517008342</v>
      </c>
    </row>
    <row r="50" customFormat="false" ht="15" hidden="false" customHeight="true" outlineLevel="0" collapsed="false">
      <c r="A50" s="2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2" min="2" style="1" width="18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10" t="s">
        <v>82</v>
      </c>
    </row>
    <row r="3" customFormat="false" ht="15" hidden="false" customHeight="true" outlineLevel="0" collapsed="false">
      <c r="A3" s="11" t="s">
        <v>83</v>
      </c>
      <c r="B3" s="12" t="n">
        <v>70000000000</v>
      </c>
    </row>
    <row r="4" customFormat="false" ht="15" hidden="false" customHeight="true" outlineLevel="0" collapsed="false">
      <c r="A4" s="11" t="s">
        <v>84</v>
      </c>
      <c r="B4" s="16" t="n">
        <v>64</v>
      </c>
    </row>
    <row r="5" customFormat="false" ht="15" hidden="false" customHeight="true" outlineLevel="0" collapsed="false">
      <c r="A5" s="11" t="s">
        <v>85</v>
      </c>
      <c r="B5" s="16" t="n">
        <v>2</v>
      </c>
    </row>
    <row r="6" customFormat="false" ht="15" hidden="false" customHeight="true" outlineLevel="0" collapsed="false">
      <c r="A6" s="11" t="s">
        <v>86</v>
      </c>
      <c r="B6" s="16" t="n">
        <v>2</v>
      </c>
    </row>
    <row r="7" customFormat="false" ht="15" hidden="false" customHeight="true" outlineLevel="0" collapsed="false">
      <c r="A7" s="11" t="s">
        <v>87</v>
      </c>
      <c r="B7" s="16" t="n">
        <v>12</v>
      </c>
    </row>
    <row r="8" customFormat="false" ht="15" hidden="false" customHeight="true" outlineLevel="0" collapsed="false">
      <c r="A8" s="11" t="s">
        <v>88</v>
      </c>
      <c r="B8" s="16" t="n">
        <v>80</v>
      </c>
    </row>
    <row r="9" customFormat="false" ht="27" hidden="false" customHeight="true" outlineLevel="0" collapsed="false">
      <c r="A9" s="17" t="s">
        <v>31</v>
      </c>
      <c r="B9" s="17" t="s">
        <v>32</v>
      </c>
      <c r="C9" s="17" t="s">
        <v>89</v>
      </c>
    </row>
    <row r="10" customFormat="false" ht="15" hidden="false" customHeight="true" outlineLevel="0" collapsed="false">
      <c r="A10" s="11" t="s">
        <v>90</v>
      </c>
      <c r="B10" s="20" t="n">
        <f aca="false">B3*(B5+B6+B7)/1000000000</f>
        <v>1120</v>
      </c>
      <c r="C10" s="28" t="n">
        <f aca="false">B5+B6+B7</f>
        <v>16</v>
      </c>
    </row>
    <row r="11" customFormat="false" ht="15" hidden="false" customHeight="true" outlineLevel="0" collapsed="false">
      <c r="A11" s="11" t="s">
        <v>91</v>
      </c>
      <c r="B11" s="20" t="n">
        <f aca="false">B3*(B5+B6+B7/B4)/1000000000</f>
        <v>293.125</v>
      </c>
      <c r="C11" s="28" t="n">
        <f aca="false">B5+B6+B7/B4</f>
        <v>4.1875</v>
      </c>
    </row>
    <row r="12" customFormat="false" ht="15" hidden="false" customHeight="true" outlineLevel="0" collapsed="false">
      <c r="A12" s="11" t="s">
        <v>92</v>
      </c>
      <c r="B12" s="20" t="n">
        <f aca="false">B3*(B5+(B6+B7)/B4)/1000000000</f>
        <v>155.3125</v>
      </c>
      <c r="C12" s="28" t="n">
        <f aca="false">B5+(B6+B7)/B4</f>
        <v>2.21875</v>
      </c>
    </row>
    <row r="13" customFormat="false" ht="15" hidden="false" customHeight="true" outlineLevel="0" collapsed="false">
      <c r="A13" s="11" t="s">
        <v>93</v>
      </c>
      <c r="B13" s="20" t="n">
        <f aca="false">B3*(B5+B6+B7)/B4/1000000000</f>
        <v>17.5</v>
      </c>
      <c r="C13" s="28" t="n">
        <f aca="false">(B5+B6+B7)/B4</f>
        <v>0.25</v>
      </c>
    </row>
    <row r="14" customFormat="false" ht="15" hidden="false" customHeight="true" outlineLevel="0" collapsed="false">
      <c r="A14" s="11" t="s">
        <v>94</v>
      </c>
      <c r="B14" s="20" t="n">
        <f aca="false">B8-B13</f>
        <v>62.5</v>
      </c>
    </row>
    <row r="16" customFormat="false" ht="27" hidden="false" customHeight="true" outlineLevel="0" collapsed="false">
      <c r="A16" s="17" t="s">
        <v>95</v>
      </c>
      <c r="B16" s="17" t="s">
        <v>32</v>
      </c>
    </row>
    <row r="17" customFormat="false" ht="15" hidden="false" customHeight="true" outlineLevel="0" collapsed="false">
      <c r="A17" s="11" t="s">
        <v>96</v>
      </c>
      <c r="B17" s="15" t="n">
        <v>8192</v>
      </c>
    </row>
    <row r="18" customFormat="false" ht="15" hidden="false" customHeight="true" outlineLevel="0" collapsed="false">
      <c r="A18" s="11" t="s">
        <v>97</v>
      </c>
      <c r="B18" s="16" t="n">
        <v>80</v>
      </c>
    </row>
    <row r="19" customFormat="false" ht="15" hidden="false" customHeight="true" outlineLevel="0" collapsed="false">
      <c r="A19" s="11" t="s">
        <v>98</v>
      </c>
      <c r="B19" s="15" t="n">
        <v>4096</v>
      </c>
    </row>
    <row r="20" customFormat="false" ht="15" hidden="false" customHeight="true" outlineLevel="0" collapsed="false">
      <c r="A20" s="11" t="s">
        <v>99</v>
      </c>
      <c r="B20" s="16" t="n">
        <v>34</v>
      </c>
    </row>
    <row r="21" customFormat="false" ht="15" hidden="false" customHeight="true" outlineLevel="0" collapsed="false">
      <c r="A21" s="11" t="s">
        <v>100</v>
      </c>
      <c r="B21" s="16" t="n">
        <v>2</v>
      </c>
    </row>
    <row r="22" customFormat="false" ht="15" hidden="false" customHeight="true" outlineLevel="0" collapsed="false">
      <c r="A22" s="11" t="s">
        <v>101</v>
      </c>
      <c r="B22" s="20" t="n">
        <f aca="false">B20*B19*B17*B18/1000000000</f>
        <v>91.26805504</v>
      </c>
    </row>
    <row r="23" customFormat="false" ht="15" hidden="false" customHeight="true" outlineLevel="0" collapsed="false">
      <c r="A23" s="11" t="s">
        <v>102</v>
      </c>
      <c r="B23" s="20" t="n">
        <f aca="false">B21*B19*B17*B18/1000000000</f>
        <v>5.36870912</v>
      </c>
    </row>
    <row r="24" customFormat="false" ht="15" hidden="false" customHeight="true" outlineLevel="0" collapsed="false">
      <c r="A24" s="11" t="s">
        <v>103</v>
      </c>
      <c r="B24" s="24" t="n">
        <f aca="false">B22/B14</f>
        <v>1.46028888064</v>
      </c>
    </row>
    <row r="26" customFormat="false" ht="15" hidden="false" customHeight="true" outlineLevel="0" collapsed="false">
      <c r="A26" s="2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10" t="s">
        <v>105</v>
      </c>
    </row>
    <row r="3" customFormat="false" ht="15" hidden="false" customHeight="true" outlineLevel="0" collapsed="false">
      <c r="A3" s="11" t="s">
        <v>106</v>
      </c>
      <c r="B3" s="16" t="n">
        <v>8</v>
      </c>
    </row>
    <row r="4" customFormat="false" ht="15" hidden="false" customHeight="true" outlineLevel="0" collapsed="false">
      <c r="A4" s="11" t="s">
        <v>107</v>
      </c>
      <c r="B4" s="16" t="n">
        <v>128</v>
      </c>
    </row>
    <row r="5" customFormat="false" ht="15" hidden="false" customHeight="true" outlineLevel="0" collapsed="false">
      <c r="A5" s="11" t="s">
        <v>108</v>
      </c>
      <c r="B5" s="16" t="n">
        <v>4</v>
      </c>
    </row>
    <row r="6" customFormat="false" ht="15" hidden="false" customHeight="true" outlineLevel="0" collapsed="false">
      <c r="A6" s="11" t="s">
        <v>109</v>
      </c>
      <c r="B6" s="15" t="n">
        <v>8192</v>
      </c>
    </row>
    <row r="7" customFormat="false" ht="15" hidden="false" customHeight="true" outlineLevel="0" collapsed="false">
      <c r="A7" s="17" t="s">
        <v>31</v>
      </c>
      <c r="B7" s="17" t="s">
        <v>32</v>
      </c>
    </row>
    <row r="8" customFormat="false" ht="15" hidden="false" customHeight="true" outlineLevel="0" collapsed="false">
      <c r="A8" s="11" t="s">
        <v>110</v>
      </c>
      <c r="B8" s="25" t="n">
        <f aca="false">(B3-1)/(B4+B3-1)</f>
        <v>0.0518518518518519</v>
      </c>
    </row>
    <row r="9" customFormat="false" ht="15" hidden="false" customHeight="true" outlineLevel="0" collapsed="false">
      <c r="A9" s="11" t="s">
        <v>111</v>
      </c>
      <c r="B9" s="18" t="n">
        <f aca="false">B4*B5</f>
        <v>512</v>
      </c>
    </row>
    <row r="10" customFormat="false" ht="15" hidden="false" customHeight="true" outlineLevel="0" collapsed="false">
      <c r="A10" s="11" t="s">
        <v>112</v>
      </c>
      <c r="B10" s="18" t="n">
        <f aca="false">B4*B5*B6</f>
        <v>4194304</v>
      </c>
    </row>
    <row r="12" customFormat="false" ht="27" hidden="false" customHeight="true" outlineLevel="0" collapsed="false">
      <c r="A12" s="17" t="s">
        <v>107</v>
      </c>
      <c r="B12" s="17" t="s">
        <v>113</v>
      </c>
    </row>
    <row r="13" customFormat="false" ht="15" hidden="false" customHeight="true" outlineLevel="0" collapsed="false">
      <c r="A13" s="16" t="n">
        <v>8</v>
      </c>
      <c r="B13" s="25" t="n">
        <f aca="false">($B$3-1)/(A13+$B$3-1)</f>
        <v>0.466666666666667</v>
      </c>
    </row>
    <row r="14" customFormat="false" ht="15" hidden="false" customHeight="true" outlineLevel="0" collapsed="false">
      <c r="A14" s="16" t="n">
        <v>32</v>
      </c>
      <c r="B14" s="25" t="n">
        <f aca="false">($B$3-1)/(A14+$B$3-1)</f>
        <v>0.17948717948718</v>
      </c>
    </row>
    <row r="15" customFormat="false" ht="15" hidden="false" customHeight="true" outlineLevel="0" collapsed="false">
      <c r="A15" s="16" t="n">
        <v>128</v>
      </c>
      <c r="B15" s="25" t="n">
        <f aca="false">($B$3-1)/(A15+$B$3-1)</f>
        <v>0.0518518518518519</v>
      </c>
    </row>
    <row r="17" customFormat="false" ht="15" hidden="false" customHeight="true" outlineLevel="0" collapsed="false">
      <c r="A17" s="2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3" min="2" style="1" width="18"/>
  </cols>
  <sheetData>
    <row r="1" customFormat="false" ht="15.75" hidden="false" customHeight="true" outlineLevel="0" collapsed="false">
      <c r="A1" s="10" t="s">
        <v>115</v>
      </c>
    </row>
    <row r="2" customFormat="false" ht="15" hidden="false" customHeight="true" outlineLevel="0" collapsed="false">
      <c r="A2" s="17" t="s">
        <v>116</v>
      </c>
      <c r="B2" s="17" t="s">
        <v>117</v>
      </c>
      <c r="C2" s="17" t="s">
        <v>118</v>
      </c>
    </row>
    <row r="3" customFormat="false" ht="15" hidden="false" customHeight="true" outlineLevel="0" collapsed="false">
      <c r="A3" s="11" t="s">
        <v>119</v>
      </c>
      <c r="B3" s="12" t="n">
        <v>405000000000</v>
      </c>
      <c r="C3" s="12" t="n">
        <v>8000000000</v>
      </c>
    </row>
    <row r="4" customFormat="false" ht="15" hidden="false" customHeight="true" outlineLevel="0" collapsed="false">
      <c r="A4" s="11" t="s">
        <v>24</v>
      </c>
      <c r="B4" s="12" t="n">
        <v>15600000000000</v>
      </c>
      <c r="C4" s="12" t="n">
        <v>15000000000000</v>
      </c>
    </row>
    <row r="5" customFormat="false" ht="15" hidden="false" customHeight="true" outlineLevel="0" collapsed="false">
      <c r="A5" s="11" t="s">
        <v>120</v>
      </c>
      <c r="B5" s="15" t="n">
        <v>989</v>
      </c>
      <c r="C5" s="15" t="n">
        <v>989</v>
      </c>
    </row>
    <row r="6" customFormat="false" ht="15" hidden="false" customHeight="true" outlineLevel="0" collapsed="false">
      <c r="A6" s="11" t="s">
        <v>121</v>
      </c>
      <c r="B6" s="29" t="n">
        <v>0.4</v>
      </c>
      <c r="C6" s="29" t="n">
        <v>0.4</v>
      </c>
    </row>
    <row r="7" customFormat="false" ht="15" hidden="false" customHeight="true" outlineLevel="0" collapsed="false">
      <c r="A7" s="11" t="s">
        <v>122</v>
      </c>
      <c r="B7" s="15" t="n">
        <v>16384</v>
      </c>
      <c r="C7" s="15" t="n">
        <v>16384</v>
      </c>
    </row>
    <row r="8" customFormat="false" ht="15" hidden="false" customHeight="true" outlineLevel="0" collapsed="false">
      <c r="A8" s="11" t="s">
        <v>123</v>
      </c>
      <c r="B8" s="14" t="n">
        <v>0.7</v>
      </c>
      <c r="C8" s="14" t="n">
        <v>0.7</v>
      </c>
    </row>
    <row r="9" customFormat="false" ht="15" hidden="false" customHeight="true" outlineLevel="0" collapsed="false">
      <c r="A9" s="11" t="s">
        <v>124</v>
      </c>
      <c r="B9" s="14" t="n">
        <v>2</v>
      </c>
      <c r="C9" s="14" t="n">
        <v>2</v>
      </c>
    </row>
    <row r="10" customFormat="false" ht="15" hidden="false" customHeight="true" outlineLevel="0" collapsed="false">
      <c r="A10" s="17" t="s">
        <v>31</v>
      </c>
      <c r="B10" s="17" t="s">
        <v>117</v>
      </c>
      <c r="C10" s="17" t="s">
        <v>118</v>
      </c>
    </row>
    <row r="11" customFormat="false" ht="15" hidden="false" customHeight="true" outlineLevel="0" collapsed="false">
      <c r="A11" s="11" t="s">
        <v>125</v>
      </c>
      <c r="B11" s="19" t="n">
        <f aca="false">6*B3*B4</f>
        <v>3.7908E+025</v>
      </c>
      <c r="C11" s="19" t="n">
        <f aca="false">6*C3*C4</f>
        <v>7.2E+023</v>
      </c>
    </row>
    <row r="12" customFormat="false" ht="15" hidden="false" customHeight="true" outlineLevel="0" collapsed="false">
      <c r="A12" s="11" t="s">
        <v>126</v>
      </c>
      <c r="B12" s="18" t="n">
        <f aca="false">B5*B6</f>
        <v>395.6</v>
      </c>
      <c r="C12" s="18" t="n">
        <f aca="false">C5*C6</f>
        <v>395.6</v>
      </c>
    </row>
    <row r="13" customFormat="false" ht="15" hidden="false" customHeight="true" outlineLevel="0" collapsed="false">
      <c r="A13" s="11" t="s">
        <v>127</v>
      </c>
      <c r="B13" s="30" t="n">
        <f aca="false">B11/(B12*1000000000000)/3600/1000000</f>
        <v>26.6177957532862</v>
      </c>
      <c r="C13" s="30" t="n">
        <f aca="false">C11/(C12*1000000000000)/3600/1000000</f>
        <v>0.505561172901921</v>
      </c>
    </row>
    <row r="14" customFormat="false" ht="15" hidden="false" customHeight="true" outlineLevel="0" collapsed="false">
      <c r="A14" s="11" t="s">
        <v>128</v>
      </c>
      <c r="B14" s="31" t="n">
        <f aca="false">B13*1000000/B7</f>
        <v>1624.62132283241</v>
      </c>
      <c r="C14" s="31" t="n">
        <f aca="false">C13*1000000/C7</f>
        <v>30.857005182002</v>
      </c>
    </row>
    <row r="15" customFormat="false" ht="15" hidden="false" customHeight="true" outlineLevel="0" collapsed="false">
      <c r="A15" s="11" t="s">
        <v>129</v>
      </c>
      <c r="B15" s="20" t="n">
        <f aca="false">B14/24</f>
        <v>67.6925551180169</v>
      </c>
      <c r="C15" s="20" t="n">
        <f aca="false">C14/24</f>
        <v>1.28570854925008</v>
      </c>
    </row>
    <row r="16" customFormat="false" ht="15" hidden="false" customHeight="true" outlineLevel="0" collapsed="false">
      <c r="A16" s="11" t="s">
        <v>130</v>
      </c>
      <c r="B16" s="20" t="n">
        <f aca="false">B13*1000000*B8/1000000</f>
        <v>18.6324570273003</v>
      </c>
      <c r="C16" s="20" t="n">
        <f aca="false">C13*1000000*C8/1000000</f>
        <v>0.353892821031345</v>
      </c>
    </row>
    <row r="17" customFormat="false" ht="15" hidden="false" customHeight="true" outlineLevel="0" collapsed="false">
      <c r="A17" s="11" t="s">
        <v>131</v>
      </c>
      <c r="B17" s="20" t="n">
        <f aca="false">B13*B9</f>
        <v>53.2355915065723</v>
      </c>
      <c r="C17" s="20" t="n">
        <f aca="false">C13*C9</f>
        <v>1.01112234580384</v>
      </c>
    </row>
    <row r="18" customFormat="false" ht="15" hidden="false" customHeight="true" outlineLevel="0" collapsed="false">
      <c r="A18" s="11" t="s">
        <v>132</v>
      </c>
      <c r="B18" s="32" t="n">
        <v>30.8</v>
      </c>
      <c r="C18" s="32" t="n">
        <v>1.3</v>
      </c>
    </row>
    <row r="19" customFormat="false" ht="15" hidden="false" customHeight="true" outlineLevel="0" collapsed="false">
      <c r="A19" s="11" t="s">
        <v>133</v>
      </c>
      <c r="B19" s="28" t="n">
        <f aca="false">B18/B13</f>
        <v>1.15712060778727</v>
      </c>
      <c r="C19" s="28" t="n">
        <f aca="false">C18/C13</f>
        <v>2.5714</v>
      </c>
    </row>
    <row r="20" customFormat="false" ht="15" hidden="false" customHeight="true" outlineLevel="0" collapsed="false">
      <c r="A20" s="11" t="s">
        <v>134</v>
      </c>
      <c r="B20" s="31" t="n">
        <f aca="false">B18*1000000/B7/24</f>
        <v>78.3284505208333</v>
      </c>
      <c r="C20" s="31" t="n">
        <f aca="false">C18*1000000/C7/24</f>
        <v>3.30607096354167</v>
      </c>
    </row>
    <row r="22" customFormat="false" ht="15" hidden="false" customHeight="true" outlineLevel="0" collapsed="false">
      <c r="A22" s="2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2026-10-02T13:57:38Z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Pretraining at Scale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