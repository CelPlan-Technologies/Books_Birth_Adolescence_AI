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atency" sheetId="2" state="visible" r:id="rId4"/>
    <sheet name="KV Budget" sheetId="3" state="visible" r:id="rId5"/>
    <sheet name="Sampling" sheetId="4" state="visible" r:id="rId6"/>
    <sheet name="Speculative" sheetId="5" state="visible" r:id="rId7"/>
    <sheet name="Batching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<sst xmlns="http://schemas.openxmlformats.org/spreadsheetml/2006/main" count="134" uniqueCount="132">
  <si>
    <t xml:space="preserve">Chapter 13 — Inference Mechanics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</si>
  <si>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</si>
  <si>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</si>
  <si>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</si>
  <si>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</si>
  <si>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Latency</t>
  </si>
  <si>
    <t xml:space="preserve">TTFT, TPOT and end-to-end latency on an H100 SXM (column B) and on the recommended Box (column C).</t>
  </si>
  <si>
    <t xml:space="preserve">Worked Examples 13.1 and 13.5 (Sections 13.1 and 13.6)</t>
  </si>
  <si>
    <t xml:space="preserve">KV Budget</t>
  </si>
  <si>
    <t xml:space="preserve">Token capacity of the key–value cache and the concurrent sequences that fit.</t>
  </si>
  <si>
    <t xml:space="preserve">Worked Example 13.2 (Section 13.2)</t>
  </si>
  <si>
    <t xml:space="preserve">Sampling</t>
  </si>
  <si>
    <t xml:space="preserve">Temperature, top-p and min-p, with temperature applied first or last.</t>
  </si>
  <si>
    <t xml:space="preserve">Worked Example 13.3 (Section 13.3.1)</t>
  </si>
  <si>
    <t xml:space="preserve">Speculative</t>
  </si>
  <si>
    <t xml:space="preserve">Tokens per target pass and speed-up of speculative decoding.</t>
  </si>
  <si>
    <t xml:space="preserve">Worked Example 13.4 (Section 13.4)</t>
  </si>
  <si>
    <t xml:space="preserve">Batching</t>
  </si>
  <si>
    <t xml:space="preserve">Total and per-sequence throughput against batch size.</t>
  </si>
  <si>
    <t xml:space="preserve">Figure 13.4 (Section 13.5.1)</t>
  </si>
  <si>
    <t xml:space="preserve">Notes</t>
  </si>
  <si>
    <t xml:space="preserve">Roofline estimates; real engines reach roughly 60–80% of the ceilings (Section 15.3).</t>
  </si>
  <si>
    <t xml:space="preserve">TTFT, TPOT and End-to-End Latency (Worked Examples 13.1 and 13.5)</t>
  </si>
  <si>
    <t xml:space="preserve">Scenario</t>
  </si>
  <si>
    <t xml:space="preserve">Worked Example 13.1: H100 SXM, BF16</t>
  </si>
  <si>
    <t xml:space="preserve">Worked Example 13.5: recommended Box, 4.9-bit GGUF</t>
  </si>
  <si>
    <t xml:space="preserve">Parameters in matrix products (B)</t>
  </si>
  <si>
    <t xml:space="preserve">Bits per weight (16 for BF16; 4.9 for the GGUF)</t>
  </si>
  <si>
    <t xml:space="preserve">Layers L</t>
  </si>
  <si>
    <t xml:space="preserve">Model dimension d</t>
  </si>
  <si>
    <t xml:space="preserve">KV bytes per token</t>
  </si>
  <si>
    <t xml:space="preserve">Prompt tokens</t>
  </si>
  <si>
    <t xml:space="preserve">Output tokens</t>
  </si>
  <si>
    <t xml:space="preserve">Peak compute (TFLOP/s), or effective for the Box</t>
  </si>
  <si>
    <t xml:space="preserve">Compute utilization in prefill</t>
  </si>
  <si>
    <t xml:space="preserve">Memory bandwidth (GB/s)</t>
  </si>
  <si>
    <t xml:space="preserve">Bandwidth utilization in decode</t>
  </si>
  <si>
    <t xml:space="preserve">Prompt tokens cached as a prefix</t>
  </si>
  <si>
    <t xml:space="preserve">Retrieval before prefill (ms)</t>
  </si>
  <si>
    <t xml:space="preserve">Thinking tokens before the answer</t>
  </si>
  <si>
    <t xml:space="preserve">Prefill FLOPs, matrix products</t>
  </si>
  <si>
    <t xml:space="preserve">Prefill FLOPs, attention (Section 4.7)</t>
  </si>
  <si>
    <t xml:space="preserve">Prefill FLOPs, total</t>
  </si>
  <si>
    <t xml:space="preserve">Sustained prefill compute (TFLOP/s)</t>
  </si>
  <si>
    <t xml:space="preserve">TTFT (ms), prefill only</t>
  </si>
  <si>
    <t xml:space="preserve">TTFT with the cached prefix (ms)</t>
  </si>
  <si>
    <t xml:space="preserve">Weights read per decode step (GB)</t>
  </si>
  <si>
    <t xml:space="preserve">KV cache read per step at the end of the prompt (GB)</t>
  </si>
  <si>
    <t xml:space="preserve">Bytes per decode step (GB)</t>
  </si>
  <si>
    <t xml:space="preserve">TPOT at the bandwidth ceiling (ms)</t>
  </si>
  <si>
    <t xml:space="preserve">Decode ceiling (tokens/s)</t>
  </si>
  <si>
    <t xml:space="preserve">TPOT at the stated utilization (ms)</t>
  </si>
  <si>
    <t xml:space="preserve">Decode rate at that utilization (tokens/s)</t>
  </si>
  <si>
    <t xml:space="preserve">Decode time for the answer (s)</t>
  </si>
  <si>
    <t xml:space="preserve">End-to-end latency (s)</t>
  </si>
  <si>
    <t xml:space="preserve">End-to-end at 80% of the decode ceiling (s)</t>
  </si>
  <si>
    <t xml:space="preserve">End-to-end at 60% of the decode ceiling (s)</t>
  </si>
  <si>
    <t xml:space="preserve">Decode share of the end-to-end time</t>
  </si>
  <si>
    <t xml:space="preserve">Prefill share of the arithmetic</t>
  </si>
  <si>
    <t xml:space="preserve">Added latency if the model thinks first (s)</t>
  </si>
  <si>
    <t xml:space="preserve">Column B: Worked Example 13.1 (H100 SXM, 989 TFLOP/s dense BF16, 3.35 TB/s; Table 15.1). Column C: Worked Example 13.5 on the recommended Box of Table P.3 (RTX PRO 4000 Blackwell, 24 GB, 672 GB/s).</t>
  </si>
  <si>
    <t xml:space="preserve">End-to-end = retrieval + TTFT + (output tokens − 1) × TPOT; 30 ms stands for the "tens of milliseconds" of retrieval. Real engines reach roughly 60–80% of the decode ceiling (Section 15.3).</t>
  </si>
  <si>
    <t xml:space="preserve">How Many Sequences Fit? (Worked Example 13.2)</t>
  </si>
  <si>
    <t xml:space="preserve">GPU memory (GB)</t>
  </si>
  <si>
    <t xml:space="preserve">Weights (GB)</t>
  </si>
  <si>
    <t xml:space="preserve">Reserve: activations, CUDA graphs, runtime (GB)</t>
  </si>
  <si>
    <t xml:space="preserve">KV bytes per token (BF16)</t>
  </si>
  <si>
    <t xml:space="preserve">KV precision factor (1 BF16, 0.5 for 8-bit)</t>
  </si>
  <si>
    <t xml:space="preserve">KV space (GB)</t>
  </si>
  <si>
    <t xml:space="preserve">Token capacity</t>
  </si>
  <si>
    <t xml:space="preserve">Sequences at 2,048 tokens</t>
  </si>
  <si>
    <t xml:space="preserve">Sequences at 8,192</t>
  </si>
  <si>
    <t xml:space="preserve">Sequences at 32,768</t>
  </si>
  <si>
    <t xml:space="preserve">Sequences at 131,072</t>
  </si>
  <si>
    <t xml:space="preserve">Weights at 4.9 bits, Q4_K_M (GB)</t>
  </si>
  <si>
    <t xml:space="preserve">Extra cache space with Q4_K_M weights (GB)</t>
  </si>
  <si>
    <t xml:space="preserve">Extra tokens of context with Q4_K_M weights</t>
  </si>
  <si>
    <t xml:space="preserve">For an 8-bit cache (Chapter 14) set the KV precision factor to 0.5: every figure doubles. Rows 16–18: 4.9-bit Q4_K_M weights instead of BF16, as in Worked Example 13.5.</t>
  </si>
  <si>
    <t xml:space="preserve">Temperature, Top-p and Min-p (Worked Example 13.3)</t>
  </si>
  <si>
    <t xml:space="preserve">Temperature T</t>
  </si>
  <si>
    <t xml:space="preserve">Top-p</t>
  </si>
  <si>
    <t xml:space="preserve">Min-p</t>
  </si>
  <si>
    <t xml:space="preserve">Token</t>
  </si>
  <si>
    <t xml:space="preserve">Logit z</t>
  </si>
  <si>
    <t xml:space="preserve">P at T = 1</t>
  </si>
  <si>
    <t xml:space="preserve">P at T</t>
  </si>
  <si>
    <t xml:space="preserve">Cumulative</t>
  </si>
  <si>
    <t xml:space="preserve">Kept by top-p</t>
  </si>
  <si>
    <t xml:space="preserve">Top-p renormalized</t>
  </si>
  <si>
    <t xml:space="preserve">Kept by min-p</t>
  </si>
  <si>
    <t xml:space="preserve">Min-p renormalized</t>
  </si>
  <si>
    <t xml:space="preserve">Cumulative at T = 1</t>
  </si>
  <si>
    <t xml:space="preserve">Kept by top-p, temperature last</t>
  </si>
  <si>
    <t xml:space="preserve">token 1</t>
  </si>
  <si>
    <t xml:space="preserve">token 2</t>
  </si>
  <si>
    <t xml:space="preserve">token 3</t>
  </si>
  <si>
    <t xml:space="preserve">token 4</t>
  </si>
  <si>
    <t xml:space="preserve">token 5</t>
  </si>
  <si>
    <t xml:space="preserve">Tokens kept</t>
  </si>
  <si>
    <t xml:space="preserve">Min-p threshold = min-p × largest P at T</t>
  </si>
  <si>
    <t xml:space="preserve">Columns D–I apply temperature first (vLLM, Hugging Face); columns J–K follow llama.cpp's default order, temperature last, so top-p acts on the T = 1 distribution.</t>
  </si>
  <si>
    <t xml:space="preserve">Speculative Decoding Speed-Up (Worked Example 13.4)</t>
  </si>
  <si>
    <t xml:space="preserve">Acceptance rate α</t>
  </si>
  <si>
    <t xml:space="preserve">Draft tokens per round γ</t>
  </si>
  <si>
    <t xml:space="preserve">Draft cost per token (fraction of a target step)</t>
  </si>
  <si>
    <t xml:space="preserve">Expected tokens per target pass</t>
  </si>
  <si>
    <t xml:space="preserve">Cost per round (target steps)</t>
  </si>
  <si>
    <t xml:space="preserve">Speed-up</t>
  </si>
  <si>
    <t xml:space="preserve">Input check: 0 ≤ α ≤ 1, γ ≥ 0, draft cost ≥ 0</t>
  </si>
  <si>
    <t xml:space="preserve">α</t>
  </si>
  <si>
    <t xml:space="preserve">γ = 2</t>
  </si>
  <si>
    <t xml:space="preserve">γ = 4</t>
  </si>
  <si>
    <t xml:space="preserve">γ = 6</t>
  </si>
  <si>
    <t xml:space="preserve">γ = 8</t>
  </si>
  <si>
    <t xml:space="preserve">Tokens per pass, γ = 4</t>
  </si>
  <si>
    <t xml:space="preserve">Columns B–E: speed-up for draft lengths γ = 2–8 at the draft cost in B5; column F: expected tokens per target pass at γ = 4. Speculative decoding is exact: the output keeps the target model's distribution.</t>
  </si>
  <si>
    <t xml:space="preserve">Expected tokens per pass = (1 − α^(γ+1)) ÷ (1 − α), which tends to γ + 1 as α → 1; the sheet uses γ + 1 at α = 1.</t>
  </si>
  <si>
    <t xml:space="preserve">Throughput against Batch Size (Figure 13.4)</t>
  </si>
  <si>
    <t xml:space="preserve">Weights read per step (GB)</t>
  </si>
  <si>
    <t xml:space="preserve">Memory bandwidth (TB/s)</t>
  </si>
  <si>
    <t xml:space="preserve">Peak compute (TFLOP/s)</t>
  </si>
  <si>
    <t xml:space="preserve">Compute utilization</t>
  </si>
  <si>
    <t xml:space="preserve">Context per sequence (tokens)</t>
  </si>
  <si>
    <t xml:space="preserve">Batch B</t>
  </si>
  <si>
    <t xml:space="preserve">Memory time (ms)</t>
  </si>
  <si>
    <t xml:space="preserve">Compute time (ms)</t>
  </si>
  <si>
    <t xml:space="preserve">Step time (ms)</t>
  </si>
  <si>
    <t xml:space="preserve">Total tokens/s</t>
  </si>
  <si>
    <t xml:space="preserve">Tokens/s per user</t>
  </si>
  <si>
    <t xml:space="preserve">KV used (GB)</t>
  </si>
  <si>
    <t xml:space="preserve">Batch at which cache reads equal the weight read</t>
  </si>
  <si>
    <t xml:space="preserve">Roofline ceilings, as in Figure 13.4 (Section 13.5.1); real engines reach roughly 60–80% of them (Section 15.3). 223 sequences of 2,048 tokens fill the 60 GB cache of Worked Example 13.2.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</si>
</sst>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"/>
    <numFmt numFmtId="167" formatCode="0"/>
    <numFmt numFmtId="168" formatCode="#,##0"/>
    <numFmt numFmtId="169" formatCode="0%"/>
    <numFmt numFmtId="170" formatCode="0.00E+00"/>
    <numFmt numFmtId="171" formatCode="#,##0.0"/>
    <numFmt numFmtId="172" formatCode="0.000"/>
    <numFmt numFmtId="173" formatCode="#,##0.##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6" t="s">
        <v>17</v>
      </c>
      <c r="B9" s="7" t="s">
        <v>18</v>
      </c>
      <c r="C9" s="7" t="s">
        <v>19</v>
      </c>
    </row>
    <row r="11" customFormat="false" ht="15" hidden="false" customHeight="false" outlineLevel="0" collapsed="false">
      <c r="A11" s="8" t="s">
        <v>20</v>
      </c>
    </row>
    <row r="12" customFormat="false" ht="15" hidden="false" customHeight="true" outlineLevel="0" collapsed="false">
      <c r="A12" s="9" t="s">
        <v>21</v>
      </c>
      <c r="B12" s="9"/>
      <c r="C12" s="9"/>
    </row>
  </sheetData>
  <mergeCells count="2"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20"/>
  </cols>
  <sheetData>
    <row r="1" customFormat="false" ht="15.75" hidden="false" customHeight="true" outlineLevel="0" collapsed="false">
      <c r="A1" s="10" t="s">
        <v>22</v>
      </c>
    </row>
    <row r="2" customFormat="false" ht="42" hidden="false" customHeight="true" outlineLevel="0" collapsed="false">
      <c r="A2" s="11" t="s">
        <v>23</v>
      </c>
      <c r="B2" s="11" t="s">
        <v>24</v>
      </c>
      <c r="C2" s="11" t="s">
        <v>25</v>
      </c>
    </row>
    <row r="3" customFormat="false" ht="15" hidden="false" customHeight="true" outlineLevel="0" collapsed="false">
      <c r="A3" s="12" t="s">
        <v>26</v>
      </c>
      <c r="B3" s="13" t="n">
        <v>7.5</v>
      </c>
      <c r="C3" s="13" t="n">
        <v>7.5</v>
      </c>
    </row>
    <row r="4" customFormat="false" ht="15" hidden="false" customHeight="true" outlineLevel="0" collapsed="false">
      <c r="A4" s="12" t="s">
        <v>27</v>
      </c>
      <c r="B4" s="14" t="n">
        <v>16</v>
      </c>
      <c r="C4" s="14" t="n">
        <v>4.9</v>
      </c>
    </row>
    <row r="5" customFormat="false" ht="15" hidden="false" customHeight="true" outlineLevel="0" collapsed="false">
      <c r="A5" s="12" t="s">
        <v>28</v>
      </c>
      <c r="B5" s="15" t="n">
        <v>32</v>
      </c>
      <c r="C5" s="15" t="n">
        <v>32</v>
      </c>
    </row>
    <row r="6" customFormat="false" ht="15" hidden="false" customHeight="true" outlineLevel="0" collapsed="false">
      <c r="A6" s="12" t="s">
        <v>29</v>
      </c>
      <c r="B6" s="16" t="n">
        <v>4096</v>
      </c>
      <c r="C6" s="16" t="n">
        <v>4096</v>
      </c>
    </row>
    <row r="7" customFormat="false" ht="15" hidden="false" customHeight="true" outlineLevel="0" collapsed="false">
      <c r="A7" s="12" t="s">
        <v>30</v>
      </c>
      <c r="B7" s="16" t="n">
        <v>131072</v>
      </c>
      <c r="C7" s="16" t="n">
        <v>131072</v>
      </c>
    </row>
    <row r="8" customFormat="false" ht="15" hidden="false" customHeight="true" outlineLevel="0" collapsed="false">
      <c r="A8" s="12" t="s">
        <v>31</v>
      </c>
      <c r="B8" s="16" t="n">
        <v>2000</v>
      </c>
      <c r="C8" s="16" t="n">
        <v>4000</v>
      </c>
    </row>
    <row r="9" customFormat="false" ht="15" hidden="false" customHeight="true" outlineLevel="0" collapsed="false">
      <c r="A9" s="12" t="s">
        <v>32</v>
      </c>
      <c r="B9" s="16" t="n">
        <v>300</v>
      </c>
      <c r="C9" s="16" t="n">
        <v>300</v>
      </c>
    </row>
    <row r="10" customFormat="false" ht="15" hidden="false" customHeight="true" outlineLevel="0" collapsed="false">
      <c r="A10" s="12" t="s">
        <v>33</v>
      </c>
      <c r="B10" s="16" t="n">
        <v>989</v>
      </c>
      <c r="C10" s="16" t="n">
        <v>50</v>
      </c>
    </row>
    <row r="11" customFormat="false" ht="15" hidden="false" customHeight="true" outlineLevel="0" collapsed="false">
      <c r="A11" s="12" t="s">
        <v>34</v>
      </c>
      <c r="B11" s="17" t="n">
        <v>0.5</v>
      </c>
      <c r="C11" s="17" t="n">
        <v>1</v>
      </c>
    </row>
    <row r="12" customFormat="false" ht="15" hidden="false" customHeight="true" outlineLevel="0" collapsed="false">
      <c r="A12" s="12" t="s">
        <v>35</v>
      </c>
      <c r="B12" s="16" t="n">
        <v>3350</v>
      </c>
      <c r="C12" s="16" t="n">
        <v>672</v>
      </c>
    </row>
    <row r="13" customFormat="false" ht="15" hidden="false" customHeight="true" outlineLevel="0" collapsed="false">
      <c r="A13" s="12" t="s">
        <v>36</v>
      </c>
      <c r="B13" s="17" t="n">
        <v>1</v>
      </c>
      <c r="C13" s="17" t="n">
        <v>0.7</v>
      </c>
    </row>
    <row r="14" customFormat="false" ht="15" hidden="false" customHeight="true" outlineLevel="0" collapsed="false">
      <c r="A14" s="12" t="s">
        <v>37</v>
      </c>
      <c r="B14" s="16" t="n">
        <v>0</v>
      </c>
      <c r="C14" s="16" t="n">
        <v>1000</v>
      </c>
    </row>
    <row r="15" customFormat="false" ht="15" hidden="false" customHeight="true" outlineLevel="0" collapsed="false">
      <c r="A15" s="12" t="s">
        <v>38</v>
      </c>
      <c r="B15" s="16" t="n">
        <v>0</v>
      </c>
      <c r="C15" s="16" t="n">
        <v>30</v>
      </c>
    </row>
    <row r="16" customFormat="false" ht="15" hidden="false" customHeight="true" outlineLevel="0" collapsed="false">
      <c r="A16" s="12" t="s">
        <v>39</v>
      </c>
      <c r="B16" s="16" t="n">
        <v>0</v>
      </c>
      <c r="C16" s="16" t="n">
        <v>2000</v>
      </c>
    </row>
    <row r="17" customFormat="false" ht="15" hidden="false" customHeight="true" outlineLevel="0" collapsed="false">
      <c r="A17" s="18"/>
      <c r="B17" s="19"/>
    </row>
    <row r="18" customFormat="false" ht="15" hidden="false" customHeight="true" outlineLevel="0" collapsed="false">
      <c r="A18" s="18" t="s">
        <v>40</v>
      </c>
      <c r="B18" s="20" t="n">
        <f aca="false">2*B3*1000000000*B8</f>
        <v>30000000000000</v>
      </c>
      <c r="C18" s="20" t="n">
        <f aca="false">2*C3*1000000000*C8</f>
        <v>60000000000000</v>
      </c>
    </row>
    <row r="19" customFormat="false" ht="15" hidden="false" customHeight="true" outlineLevel="0" collapsed="false">
      <c r="A19" s="18" t="s">
        <v>41</v>
      </c>
      <c r="B19" s="20" t="n">
        <f aca="false">4*B6*B5*B8*(B8+1)/2</f>
        <v>1049100288000</v>
      </c>
      <c r="C19" s="20" t="n">
        <f aca="false">4*C6*C5*C8*(C8+1)/2</f>
        <v>4195352576000</v>
      </c>
    </row>
    <row r="20" customFormat="false" ht="15" hidden="false" customHeight="true" outlineLevel="0" collapsed="false">
      <c r="A20" s="18" t="s">
        <v>42</v>
      </c>
      <c r="B20" s="20" t="n">
        <f aca="false">B18+B19</f>
        <v>31049100288000</v>
      </c>
      <c r="C20" s="20" t="n">
        <f aca="false">C18+C19</f>
        <v>64195352576000</v>
      </c>
    </row>
    <row r="21" customFormat="false" ht="15" hidden="false" customHeight="true" outlineLevel="0" collapsed="false">
      <c r="A21" s="18" t="s">
        <v>43</v>
      </c>
      <c r="B21" s="21" t="n">
        <f aca="false">B10*B11</f>
        <v>494.5</v>
      </c>
      <c r="C21" s="21" t="n">
        <f aca="false">C10*C11</f>
        <v>50</v>
      </c>
    </row>
    <row r="22" customFormat="false" ht="15" hidden="false" customHeight="true" outlineLevel="0" collapsed="false">
      <c r="A22" s="18" t="s">
        <v>44</v>
      </c>
      <c r="B22" s="22" t="n">
        <f aca="false">B20/(B21*1000000000000)*1000</f>
        <v>62.7888782366026</v>
      </c>
      <c r="C22" s="22" t="n">
        <f aca="false">C20/(C21*1000000000000)*1000</f>
        <v>1283.90705152</v>
      </c>
    </row>
    <row r="23" customFormat="false" ht="15" hidden="false" customHeight="true" outlineLevel="0" collapsed="false">
      <c r="A23" s="18" t="s">
        <v>45</v>
      </c>
      <c r="B23" s="22" t="n">
        <f aca="false">(2*B3*1000000000*(B8-B14)+4*B6*B5*(B8*(B8+1)-B14*(B14+1))/2)/(B21*1000000000000)*1000</f>
        <v>62.7888782366026</v>
      </c>
      <c r="C23" s="22" t="n">
        <f aca="false">(2*C3*1000000000*(C8-C14)+4*C6*C5*(C8*(C8+1)-C14*(C14+1))/2)/(C21*1000000000000)*1000</f>
        <v>978.65892864</v>
      </c>
    </row>
    <row r="24" customFormat="false" ht="15" hidden="false" customHeight="true" outlineLevel="0" collapsed="false">
      <c r="A24" s="18" t="s">
        <v>46</v>
      </c>
      <c r="B24" s="19" t="n">
        <f aca="false">B3*B4/8</f>
        <v>15</v>
      </c>
      <c r="C24" s="19" t="n">
        <f aca="false">C3*C4/8</f>
        <v>4.59375</v>
      </c>
    </row>
    <row r="25" customFormat="false" ht="15" hidden="false" customHeight="true" outlineLevel="0" collapsed="false">
      <c r="A25" s="18" t="s">
        <v>47</v>
      </c>
      <c r="B25" s="19" t="n">
        <f aca="false">B7*B8/1000000000</f>
        <v>0.262144</v>
      </c>
      <c r="C25" s="19" t="n">
        <f aca="false">C7*C8/1000000000</f>
        <v>0.524288</v>
      </c>
    </row>
    <row r="26" customFormat="false" ht="15" hidden="false" customHeight="true" outlineLevel="0" collapsed="false">
      <c r="A26" s="18" t="s">
        <v>48</v>
      </c>
      <c r="B26" s="19" t="n">
        <f aca="false">B24+B25</f>
        <v>15.262144</v>
      </c>
      <c r="C26" s="19" t="n">
        <f aca="false">C24+C25</f>
        <v>5.118038</v>
      </c>
    </row>
    <row r="27" customFormat="false" ht="15" hidden="false" customHeight="true" outlineLevel="0" collapsed="false">
      <c r="A27" s="18" t="s">
        <v>49</v>
      </c>
      <c r="B27" s="19" t="n">
        <f aca="false">B26/B12*1000</f>
        <v>4.55586388059701</v>
      </c>
      <c r="C27" s="19" t="n">
        <f aca="false">C26/C12*1000</f>
        <v>7.61612797619048</v>
      </c>
    </row>
    <row r="28" customFormat="false" ht="15" hidden="false" customHeight="true" outlineLevel="0" collapsed="false">
      <c r="A28" s="18" t="s">
        <v>50</v>
      </c>
      <c r="B28" s="21" t="n">
        <f aca="false">1000/B27</f>
        <v>219.497339299118</v>
      </c>
      <c r="C28" s="21" t="n">
        <f aca="false">1000/C27</f>
        <v>131.300314690903</v>
      </c>
    </row>
    <row r="29" customFormat="false" ht="15" hidden="false" customHeight="true" outlineLevel="0" collapsed="false">
      <c r="A29" s="18" t="s">
        <v>51</v>
      </c>
      <c r="B29" s="19" t="n">
        <f aca="false">B27/B13</f>
        <v>4.55586388059701</v>
      </c>
      <c r="C29" s="19" t="n">
        <f aca="false">C27/C13</f>
        <v>10.8801828231293</v>
      </c>
    </row>
    <row r="30" customFormat="false" ht="15" hidden="false" customHeight="true" outlineLevel="0" collapsed="false">
      <c r="A30" s="18" t="s">
        <v>52</v>
      </c>
      <c r="B30" s="21" t="n">
        <f aca="false">1000/B29</f>
        <v>219.497339299118</v>
      </c>
      <c r="C30" s="21" t="n">
        <f aca="false">1000/C29</f>
        <v>91.9102202836321</v>
      </c>
    </row>
    <row r="31" customFormat="false" ht="15" hidden="false" customHeight="true" outlineLevel="0" collapsed="false">
      <c r="A31" s="18" t="s">
        <v>53</v>
      </c>
      <c r="B31" s="19" t="n">
        <f aca="false">(B9-1)*B29/1000</f>
        <v>1.36220330029851</v>
      </c>
      <c r="C31" s="19" t="n">
        <f aca="false">(C9-1)*C29/1000</f>
        <v>3.25317466411565</v>
      </c>
    </row>
    <row r="32" customFormat="false" ht="15" hidden="false" customHeight="true" outlineLevel="0" collapsed="false">
      <c r="A32" s="18" t="s">
        <v>54</v>
      </c>
      <c r="B32" s="19" t="n">
        <f aca="false">(B15+B22+(B9-1)*B29)/1000</f>
        <v>1.42499217853511</v>
      </c>
      <c r="C32" s="19" t="n">
        <f aca="false">(C15+C22+(C9-1)*C29)/1000</f>
        <v>4.56708171563565</v>
      </c>
    </row>
    <row r="33" customFormat="false" ht="15" hidden="false" customHeight="true" outlineLevel="0" collapsed="false">
      <c r="A33" s="18" t="s">
        <v>55</v>
      </c>
      <c r="B33" s="19" t="n">
        <f aca="false">(B15+B22+(B9-1)*B27/0.8)/1000</f>
        <v>1.76554300360974</v>
      </c>
      <c r="C33" s="19" t="n">
        <f aca="false">(C15+C22+(C9-1)*C27/0.8)/1000</f>
        <v>4.16043488262119</v>
      </c>
    </row>
    <row r="34" customFormat="false" ht="15" hidden="false" customHeight="true" outlineLevel="0" collapsed="false">
      <c r="A34" s="18" t="s">
        <v>56</v>
      </c>
      <c r="B34" s="19" t="n">
        <f aca="false">(B15+B22+(B9-1)*B27/0.6)/1000</f>
        <v>2.33312771206745</v>
      </c>
      <c r="C34" s="19" t="n">
        <f aca="false">(C15+C22+(C9-1)*C27/0.6)/1000</f>
        <v>5.10927749298825</v>
      </c>
    </row>
    <row r="35" customFormat="false" ht="15" hidden="false" customHeight="true" outlineLevel="0" collapsed="false">
      <c r="A35" s="18" t="s">
        <v>57</v>
      </c>
      <c r="B35" s="23" t="n">
        <f aca="false">B31/B32</f>
        <v>0.955937387459102</v>
      </c>
      <c r="C35" s="23" t="n">
        <f aca="false">C31/C32</f>
        <v>0.712309274646484</v>
      </c>
    </row>
    <row r="36" customFormat="false" ht="15" hidden="false" customHeight="true" outlineLevel="0" collapsed="false">
      <c r="A36" s="18" t="s">
        <v>58</v>
      </c>
      <c r="B36" s="23" t="n">
        <f aca="false">B20/(B20+(B9-1)*2*B3*1000000000+4*B6*B5*((B9-1)*B8+(B9-1)*B9/2))</f>
        <v>0.86557330772759</v>
      </c>
      <c r="C36" s="23" t="n">
        <f aca="false">C20/(C20+(C9-1)*2*C3*1000000000+4*C6*C5*((C9-1)*C8+(C9-1)*C9/2))</f>
        <v>0.925926799905124</v>
      </c>
    </row>
    <row r="37" customFormat="false" ht="15" hidden="false" customHeight="true" outlineLevel="0" collapsed="false">
      <c r="A37" s="18" t="s">
        <v>59</v>
      </c>
      <c r="B37" s="24" t="n">
        <f aca="false">B16*B29/1000</f>
        <v>0</v>
      </c>
      <c r="C37" s="24" t="n">
        <f aca="false">C16*C29/1000</f>
        <v>21.7603656462585</v>
      </c>
    </row>
    <row r="39" customFormat="false" ht="15" hidden="false" customHeight="true" outlineLevel="0" collapsed="false">
      <c r="A39" s="25" t="s">
        <v>60</v>
      </c>
    </row>
    <row r="40" customFormat="false" ht="15" hidden="false" customHeight="true" outlineLevel="0" collapsed="false">
      <c r="A40" s="2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62</v>
      </c>
    </row>
    <row r="3" customFormat="false" ht="15" hidden="false" customHeight="true" outlineLevel="0" collapsed="false">
      <c r="A3" s="12" t="s">
        <v>63</v>
      </c>
      <c r="B3" s="15" t="n">
        <v>80</v>
      </c>
    </row>
    <row r="4" customFormat="false" ht="15" hidden="false" customHeight="true" outlineLevel="0" collapsed="false">
      <c r="A4" s="12" t="s">
        <v>64</v>
      </c>
      <c r="B4" s="14" t="n">
        <v>16.1</v>
      </c>
    </row>
    <row r="5" customFormat="false" ht="15" hidden="false" customHeight="true" outlineLevel="0" collapsed="false">
      <c r="A5" s="12" t="s">
        <v>65</v>
      </c>
      <c r="B5" s="14" t="n">
        <v>4</v>
      </c>
    </row>
    <row r="6" customFormat="false" ht="15" hidden="false" customHeight="true" outlineLevel="0" collapsed="false">
      <c r="A6" s="12" t="s">
        <v>66</v>
      </c>
      <c r="B6" s="16" t="n">
        <v>131072</v>
      </c>
    </row>
    <row r="7" customFormat="false" ht="15" hidden="false" customHeight="true" outlineLevel="0" collapsed="false">
      <c r="A7" s="12" t="s">
        <v>67</v>
      </c>
      <c r="B7" s="13" t="n">
        <v>1</v>
      </c>
    </row>
    <row r="9" customFormat="false" ht="15" hidden="false" customHeight="true" outlineLevel="0" collapsed="false">
      <c r="A9" s="18" t="s">
        <v>68</v>
      </c>
      <c r="B9" s="24" t="n">
        <f aca="false">B3-B4-B5</f>
        <v>59.9</v>
      </c>
    </row>
    <row r="10" customFormat="false" ht="15" hidden="false" customHeight="true" outlineLevel="0" collapsed="false">
      <c r="A10" s="18" t="s">
        <v>69</v>
      </c>
      <c r="B10" s="21" t="n">
        <f aca="false">B9*1000000000/(B6*B7)</f>
        <v>457000.732421875</v>
      </c>
    </row>
    <row r="11" customFormat="false" ht="15" hidden="false" customHeight="true" outlineLevel="0" collapsed="false">
      <c r="A11" s="18" t="s">
        <v>70</v>
      </c>
      <c r="B11" s="21" t="n">
        <f aca="false">INT(B10/2048)</f>
        <v>223</v>
      </c>
    </row>
    <row r="12" customFormat="false" ht="15" hidden="false" customHeight="true" outlineLevel="0" collapsed="false">
      <c r="A12" s="18" t="s">
        <v>71</v>
      </c>
      <c r="B12" s="21" t="n">
        <f aca="false">INT(B10/8192)</f>
        <v>55</v>
      </c>
    </row>
    <row r="13" customFormat="false" ht="15" hidden="false" customHeight="true" outlineLevel="0" collapsed="false">
      <c r="A13" s="18" t="s">
        <v>72</v>
      </c>
      <c r="B13" s="21" t="n">
        <f aca="false">INT(B10/32768)</f>
        <v>13</v>
      </c>
    </row>
    <row r="14" customFormat="false" ht="15" hidden="false" customHeight="true" outlineLevel="0" collapsed="false">
      <c r="A14" s="18" t="s">
        <v>73</v>
      </c>
      <c r="B14" s="21" t="n">
        <f aca="false">INT(B10/131072)</f>
        <v>3</v>
      </c>
    </row>
    <row r="16" customFormat="false" ht="15" hidden="false" customHeight="true" outlineLevel="0" collapsed="false">
      <c r="A16" s="12" t="s">
        <v>74</v>
      </c>
      <c r="B16" s="14" t="n">
        <v>4.9</v>
      </c>
    </row>
    <row r="17" customFormat="false" ht="15" hidden="false" customHeight="true" outlineLevel="0" collapsed="false">
      <c r="A17" s="18" t="s">
        <v>75</v>
      </c>
      <c r="B17" s="24" t="n">
        <f aca="false">B4-B16</f>
        <v>11.2</v>
      </c>
    </row>
    <row r="18" customFormat="false" ht="15" hidden="false" customHeight="true" outlineLevel="0" collapsed="false">
      <c r="A18" s="18" t="s">
        <v>76</v>
      </c>
      <c r="B18" s="21" t="n">
        <f aca="false">B17*1000000000/(B6*B7)</f>
        <v>85449.21875</v>
      </c>
    </row>
    <row r="20" customFormat="false" ht="15" hidden="false" customHeight="true" outlineLevel="0" collapsed="false">
      <c r="A20" s="2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8"/>
  </cols>
  <sheetData>
    <row r="1" customFormat="false" ht="15.75" hidden="false" customHeight="true" outlineLevel="0" collapsed="false">
      <c r="A1" s="10" t="s">
        <v>78</v>
      </c>
    </row>
    <row r="3" customFormat="false" ht="15" hidden="false" customHeight="true" outlineLevel="0" collapsed="false">
      <c r="A3" s="12" t="s">
        <v>79</v>
      </c>
      <c r="B3" s="13" t="n">
        <v>0.7</v>
      </c>
    </row>
    <row r="4" customFormat="false" ht="15" hidden="false" customHeight="true" outlineLevel="0" collapsed="false">
      <c r="A4" s="12" t="s">
        <v>80</v>
      </c>
      <c r="B4" s="13" t="n">
        <v>0.9</v>
      </c>
    </row>
    <row r="5" customFormat="false" ht="15" hidden="false" customHeight="true" outlineLevel="0" collapsed="false">
      <c r="A5" s="12" t="s">
        <v>81</v>
      </c>
      <c r="B5" s="13" t="n">
        <v>0.1</v>
      </c>
    </row>
    <row r="7" customFormat="false" ht="30" hidden="false" customHeight="true" outlineLevel="0" collapsed="false">
      <c r="A7" s="11" t="s">
        <v>82</v>
      </c>
      <c r="B7" s="11" t="s">
        <v>83</v>
      </c>
      <c r="C7" s="11" t="s">
        <v>84</v>
      </c>
      <c r="D7" s="11" t="s">
        <v>85</v>
      </c>
      <c r="E7" s="11" t="s">
        <v>86</v>
      </c>
      <c r="F7" s="11" t="s">
        <v>87</v>
      </c>
      <c r="G7" s="11" t="s">
        <v>88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12" t="s">
        <v>93</v>
      </c>
      <c r="B8" s="13" t="n">
        <v>3</v>
      </c>
      <c r="C8" s="26" t="n">
        <f aca="false">EXP(B8)/SUMPRODUCT(EXP($B$8:$B$12))</f>
        <v>0.568834595991917</v>
      </c>
      <c r="D8" s="26" t="n">
        <f aca="false">EXP(B8/$B$3)/SUMPRODUCT(EXP($B$8:$B$12/$B$3))</f>
        <v>0.684625531261187</v>
      </c>
      <c r="E8" s="26" t="n">
        <f aca="false">SUM($D$8:D8)</f>
        <v>0.684625531261187</v>
      </c>
      <c r="F8" s="27" t="n">
        <f aca="false">IF(E8-D8&lt;$B$4,1,0)</f>
        <v>1</v>
      </c>
      <c r="G8" s="28" t="n">
        <f aca="false">D8*F8/SUMPRODUCT($D$8:$D$12,$F$8:$F$12)</f>
        <v>0.75820382759259</v>
      </c>
      <c r="H8" s="27" t="n">
        <f aca="false">IF(D8&gt;=$B$5*MAX($D$8:$D$12),1,0)</f>
        <v>1</v>
      </c>
      <c r="I8" s="28" t="n">
        <f aca="false">D8*H8/SUMPRODUCT($D$8:$D$12,$H$8:$H$12)</f>
        <v>0.696269384188439</v>
      </c>
      <c r="J8" s="26" t="n">
        <f aca="false">SUM($C$8:C8)</f>
        <v>0.568834595991917</v>
      </c>
      <c r="K8" s="27" t="n">
        <f aca="false">IF(J8-C8&lt;$B$4,1,0)</f>
        <v>1</v>
      </c>
    </row>
    <row r="9" customFormat="false" ht="15" hidden="false" customHeight="true" outlineLevel="0" collapsed="false">
      <c r="A9" s="12" t="s">
        <v>94</v>
      </c>
      <c r="B9" s="13" t="n">
        <v>2.2</v>
      </c>
      <c r="C9" s="26" t="n">
        <f aca="false">EXP(B9)/SUMPRODUCT(EXP($B$8:$B$12))</f>
        <v>0.255593859771087</v>
      </c>
      <c r="D9" s="26" t="n">
        <f aca="false">EXP(B9/$B$3)/SUMPRODUCT(EXP($B$8:$B$12/$B$3))</f>
        <v>0.218331571230599</v>
      </c>
      <c r="E9" s="26" t="n">
        <f aca="false">SUM($D$8:D9)</f>
        <v>0.902957102491786</v>
      </c>
      <c r="F9" s="27" t="n">
        <f aca="false">IF(E9-D9&lt;$B$4,1,0)</f>
        <v>1</v>
      </c>
      <c r="G9" s="28" t="n">
        <f aca="false">D9*F9/SUMPRODUCT($D$8:$D$12,$F$8:$F$12)</f>
        <v>0.24179617240741</v>
      </c>
      <c r="H9" s="27" t="n">
        <f aca="false">IF(D9&gt;=$B$5*MAX($D$8:$D$12),1,0)</f>
        <v>1</v>
      </c>
      <c r="I9" s="28" t="n">
        <f aca="false">D9*H9/SUMPRODUCT($D$8:$D$12,$H$8:$H$12)</f>
        <v>0.222044872281616</v>
      </c>
      <c r="J9" s="26" t="n">
        <f aca="false">SUM($C$8:C9)</f>
        <v>0.824428455763004</v>
      </c>
      <c r="K9" s="27" t="n">
        <f aca="false">IF(J9-C9&lt;$B$4,1,0)</f>
        <v>1</v>
      </c>
    </row>
    <row r="10" customFormat="false" ht="15" hidden="false" customHeight="true" outlineLevel="0" collapsed="false">
      <c r="A10" s="12" t="s">
        <v>95</v>
      </c>
      <c r="B10" s="13" t="n">
        <v>1.5</v>
      </c>
      <c r="C10" s="26" t="n">
        <f aca="false">EXP(B10)/SUMPRODUCT(EXP($B$8:$B$12))</f>
        <v>0.126924154501644</v>
      </c>
      <c r="D10" s="26" t="n">
        <f aca="false">EXP(B10/$B$3)/SUMPRODUCT(EXP($B$8:$B$12/$B$3))</f>
        <v>0.0803196964143959</v>
      </c>
      <c r="E10" s="26" t="n">
        <f aca="false">SUM($D$8:D10)</f>
        <v>0.983276798906182</v>
      </c>
      <c r="F10" s="27" t="n">
        <f aca="false">IF(E10-D10&lt;$B$4,1,0)</f>
        <v>0</v>
      </c>
      <c r="G10" s="28" t="n">
        <f aca="false">D10*F10/SUMPRODUCT($D$8:$D$12,$F$8:$F$12)</f>
        <v>0</v>
      </c>
      <c r="H10" s="27" t="n">
        <f aca="false">IF(D10&gt;=$B$5*MAX($D$8:$D$12),1,0)</f>
        <v>1</v>
      </c>
      <c r="I10" s="28" t="n">
        <f aca="false">D10*H10/SUMPRODUCT($D$8:$D$12,$H$8:$H$12)</f>
        <v>0.0816857435299452</v>
      </c>
      <c r="J10" s="26" t="n">
        <f aca="false">SUM($C$8:C10)</f>
        <v>0.951352610264648</v>
      </c>
      <c r="K10" s="27" t="n">
        <f aca="false">IF(J10-C10&lt;$B$4,1,0)</f>
        <v>1</v>
      </c>
    </row>
    <row r="11" customFormat="false" ht="15" hidden="false" customHeight="true" outlineLevel="0" collapsed="false">
      <c r="A11" s="12" t="s">
        <v>96</v>
      </c>
      <c r="B11" s="13" t="n">
        <v>0.3</v>
      </c>
      <c r="C11" s="26" t="n">
        <f aca="false">EXP(B11)/SUMPRODUCT(EXP($B$8:$B$12))</f>
        <v>0.0382288206877452</v>
      </c>
      <c r="D11" s="26" t="n">
        <f aca="false">EXP(B11/$B$3)/SUMPRODUCT(EXP($B$8:$B$12/$B$3))</f>
        <v>0.0144649598382902</v>
      </c>
      <c r="E11" s="26" t="n">
        <f aca="false">SUM($D$8:D11)</f>
        <v>0.997741758744472</v>
      </c>
      <c r="F11" s="27" t="n">
        <f aca="false">IF(E11-D11&lt;$B$4,1,0)</f>
        <v>0</v>
      </c>
      <c r="G11" s="28" t="n">
        <f aca="false">D11*F11/SUMPRODUCT($D$8:$D$12,$F$8:$F$12)</f>
        <v>0</v>
      </c>
      <c r="H11" s="27" t="n">
        <f aca="false">IF(D11&gt;=$B$5*MAX($D$8:$D$12),1,0)</f>
        <v>0</v>
      </c>
      <c r="I11" s="28" t="n">
        <f aca="false">D11*H11/SUMPRODUCT($D$8:$D$12,$H$8:$H$12)</f>
        <v>0</v>
      </c>
      <c r="J11" s="26" t="n">
        <f aca="false">SUM($C$8:C11)</f>
        <v>0.989581430952393</v>
      </c>
      <c r="K11" s="27" t="n">
        <f aca="false">IF(J11-C11&lt;$B$4,1,0)</f>
        <v>0</v>
      </c>
    </row>
    <row r="12" customFormat="false" ht="15" hidden="false" customHeight="true" outlineLevel="0" collapsed="false">
      <c r="A12" s="12" t="s">
        <v>97</v>
      </c>
      <c r="B12" s="13" t="n">
        <v>-1</v>
      </c>
      <c r="C12" s="26" t="n">
        <f aca="false">EXP(B12)/SUMPRODUCT(EXP($B$8:$B$12))</f>
        <v>0.010418569047607</v>
      </c>
      <c r="D12" s="26" t="n">
        <f aca="false">EXP(B12/$B$3)/SUMPRODUCT(EXP($B$8:$B$12/$B$3))</f>
        <v>0.00225824125552788</v>
      </c>
      <c r="E12" s="26" t="n">
        <f aca="false">SUM($D$8:D12)</f>
        <v>1</v>
      </c>
      <c r="F12" s="27" t="n">
        <f aca="false">IF(E12-D12&lt;$B$4,1,0)</f>
        <v>0</v>
      </c>
      <c r="G12" s="28" t="n">
        <f aca="false">D12*F12/SUMPRODUCT($D$8:$D$12,$F$8:$F$12)</f>
        <v>0</v>
      </c>
      <c r="H12" s="27" t="n">
        <f aca="false">IF(D12&gt;=$B$5*MAX($D$8:$D$12),1,0)</f>
        <v>0</v>
      </c>
      <c r="I12" s="28" t="n">
        <f aca="false">D12*H12/SUMPRODUCT($D$8:$D$12,$H$8:$H$12)</f>
        <v>0</v>
      </c>
      <c r="J12" s="26" t="n">
        <f aca="false">SUM($C$8:C12)</f>
        <v>1</v>
      </c>
      <c r="K12" s="27" t="n">
        <f aca="false">IF(J12-C12&lt;$B$4,1,0)</f>
        <v>0</v>
      </c>
    </row>
    <row r="13" customFormat="false" ht="15" hidden="false" customHeight="true" outlineLevel="0" collapsed="false">
      <c r="A13" s="18" t="s">
        <v>98</v>
      </c>
      <c r="F13" s="29" t="n">
        <f aca="false">SUM(F8:F12)</f>
        <v>2</v>
      </c>
      <c r="H13" s="29" t="n">
        <f aca="false">SUM(H8:H12)</f>
        <v>3</v>
      </c>
      <c r="K13" s="29" t="n">
        <f aca="false">SUM(K8:K12)</f>
        <v>3</v>
      </c>
    </row>
    <row r="14" customFormat="false" ht="15" hidden="false" customHeight="true" outlineLevel="0" collapsed="false">
      <c r="A14" s="18" t="s">
        <v>99</v>
      </c>
      <c r="H14" s="28" t="n">
        <f aca="false">B5*MAX(D8:D12)</f>
        <v>0.0684625531261187</v>
      </c>
    </row>
    <row r="16" customFormat="false" ht="15" hidden="false" customHeight="true" outlineLevel="0" collapsed="false">
      <c r="A16" s="2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10" t="s">
        <v>101</v>
      </c>
    </row>
    <row r="3" customFormat="false" ht="15" hidden="false" customHeight="true" outlineLevel="0" collapsed="false">
      <c r="A3" s="12" t="s">
        <v>102</v>
      </c>
      <c r="B3" s="13" t="n">
        <v>0.8</v>
      </c>
    </row>
    <row r="4" customFormat="false" ht="15" hidden="false" customHeight="true" outlineLevel="0" collapsed="false">
      <c r="A4" s="12" t="s">
        <v>103</v>
      </c>
      <c r="B4" s="15" t="n">
        <v>4</v>
      </c>
    </row>
    <row r="5" customFormat="false" ht="15" hidden="false" customHeight="true" outlineLevel="0" collapsed="false">
      <c r="A5" s="12" t="s">
        <v>104</v>
      </c>
      <c r="B5" s="13" t="n">
        <v>0.1</v>
      </c>
    </row>
    <row r="7" customFormat="false" ht="15" hidden="false" customHeight="true" outlineLevel="0" collapsed="false">
      <c r="A7" s="18" t="s">
        <v>105</v>
      </c>
      <c r="B7" s="19" t="n">
        <f aca="false">IF(B3=1,B4+1,(1-B3^(B4+1))/(1-B3))</f>
        <v>3.3616</v>
      </c>
    </row>
    <row r="8" customFormat="false" ht="15" hidden="false" customHeight="true" outlineLevel="0" collapsed="false">
      <c r="A8" s="18" t="s">
        <v>106</v>
      </c>
      <c r="B8" s="19" t="n">
        <f aca="false">1+B4*B5</f>
        <v>1.4</v>
      </c>
    </row>
    <row r="9" customFormat="false" ht="15" hidden="false" customHeight="true" outlineLevel="0" collapsed="false">
      <c r="A9" s="18" t="s">
        <v>107</v>
      </c>
      <c r="B9" s="19" t="n">
        <f aca="false">B7/B8</f>
        <v>2.40114285714286</v>
      </c>
    </row>
    <row r="10" customFormat="false" ht="15" hidden="false" customHeight="false" outlineLevel="0" collapsed="false">
      <c r="A10" s="12" t="s">
        <v>108</v>
      </c>
      <c r="B10" s="12" t="str">
        <f aca="false">IF(AND(B3&gt;=0,B3&lt;=1,B4&gt;=0,B5&gt;=0,MIN(A13:A17)&gt;=0,MAX(A13:A17)&lt;=1),"OK","invalid")</f>
        <v>OK</v>
      </c>
    </row>
    <row r="12" customFormat="false" ht="30" hidden="false" customHeight="true" outlineLevel="0" collapsed="false">
      <c r="A12" s="11" t="s">
        <v>109</v>
      </c>
      <c r="B12" s="11" t="s">
        <v>110</v>
      </c>
      <c r="C12" s="11" t="s">
        <v>111</v>
      </c>
      <c r="D12" s="11" t="s">
        <v>112</v>
      </c>
      <c r="E12" s="11" t="s">
        <v>113</v>
      </c>
      <c r="F12" s="11" t="s">
        <v>114</v>
      </c>
    </row>
    <row r="13" customFormat="false" ht="15" hidden="false" customHeight="true" outlineLevel="0" collapsed="false">
      <c r="A13" s="13" t="n">
        <v>0.5</v>
      </c>
      <c r="B13" s="30" t="n">
        <f aca="false">IF($A13=1,2+1,(1-$A13^(2+1))/(1-$A13))/(1+2*$B$5)</f>
        <v>1.45833333333333</v>
      </c>
      <c r="C13" s="30" t="n">
        <f aca="false">IF($A13=1,4+1,(1-$A13^(4+1))/(1-$A13))/(1+4*$B$5)</f>
        <v>1.38392857142857</v>
      </c>
      <c r="D13" s="30" t="n">
        <f aca="false">IF($A13=1,6+1,(1-$A13^(6+1))/(1-$A13))/(1+6*$B$5)</f>
        <v>1.240234375</v>
      </c>
      <c r="E13" s="30" t="n">
        <f aca="false">IF($A13=1,8+1,(1-$A13^(8+1))/(1-$A13))/(1+8*$B$5)</f>
        <v>1.10894097222222</v>
      </c>
      <c r="F13" s="30" t="n">
        <f aca="false">IF($A13=1,4+1,(1-$A13^(4+1))/(1-$A13))</f>
        <v>1.9375</v>
      </c>
    </row>
    <row r="14" customFormat="false" ht="15" hidden="false" customHeight="true" outlineLevel="0" collapsed="false">
      <c r="A14" s="13" t="n">
        <v>0.6</v>
      </c>
      <c r="B14" s="30" t="n">
        <f aca="false">IF($A14=1,2+1,(1-$A14^(2+1))/(1-$A14))/(1+2*$B$5)</f>
        <v>1.63333333333333</v>
      </c>
      <c r="C14" s="30" t="n">
        <f aca="false">IF($A14=1,4+1,(1-$A14^(4+1))/(1-$A14))/(1+4*$B$5)</f>
        <v>1.64685714285714</v>
      </c>
      <c r="D14" s="30" t="n">
        <f aca="false">IF($A14=1,6+1,(1-$A14^(6+1))/(1-$A14))/(1+6*$B$5)</f>
        <v>1.51876</v>
      </c>
      <c r="E14" s="30" t="n">
        <f aca="false">IF($A14=1,8+1,(1-$A14^(8+1))/(1-$A14))/(1+8*$B$5)</f>
        <v>1.37489208888889</v>
      </c>
      <c r="F14" s="30" t="n">
        <f aca="false">IF($A14=1,4+1,(1-$A14^(4+1))/(1-$A14))</f>
        <v>2.3056</v>
      </c>
    </row>
    <row r="15" customFormat="false" ht="15" hidden="false" customHeight="true" outlineLevel="0" collapsed="false">
      <c r="A15" s="13" t="n">
        <v>0.7</v>
      </c>
      <c r="B15" s="30" t="n">
        <f aca="false">IF($A15=1,2+1,(1-$A15^(2+1))/(1-$A15))/(1+2*$B$5)</f>
        <v>1.825</v>
      </c>
      <c r="C15" s="30" t="n">
        <f aca="false">IF($A15=1,4+1,(1-$A15^(4+1))/(1-$A15))/(1+4*$B$5)</f>
        <v>1.98078571428571</v>
      </c>
      <c r="D15" s="30" t="n">
        <f aca="false">IF($A15=1,6+1,(1-$A15^(6+1))/(1-$A15))/(1+6*$B$5)</f>
        <v>1.911761875</v>
      </c>
      <c r="E15" s="30" t="n">
        <f aca="false">IF($A15=1,8+1,(1-$A15^(8+1))/(1-$A15))/(1+8*$B$5)</f>
        <v>1.77712295</v>
      </c>
      <c r="F15" s="30" t="n">
        <f aca="false">IF($A15=1,4+1,(1-$A15^(4+1))/(1-$A15))</f>
        <v>2.7731</v>
      </c>
    </row>
    <row r="16" customFormat="false" ht="15" hidden="false" customHeight="true" outlineLevel="0" collapsed="false">
      <c r="A16" s="13" t="n">
        <v>0.8</v>
      </c>
      <c r="B16" s="30" t="n">
        <f aca="false">IF($A16=1,2+1,(1-$A16^(2+1))/(1-$A16))/(1+2*$B$5)</f>
        <v>2.03333333333333</v>
      </c>
      <c r="C16" s="30" t="n">
        <f aca="false">IF($A16=1,4+1,(1-$A16^(4+1))/(1-$A16))/(1+4*$B$5)</f>
        <v>2.40114285714286</v>
      </c>
      <c r="D16" s="30" t="n">
        <f aca="false">IF($A16=1,6+1,(1-$A16^(6+1))/(1-$A16))/(1+6*$B$5)</f>
        <v>2.46964</v>
      </c>
      <c r="E16" s="30" t="n">
        <f aca="false">IF($A16=1,8+1,(1-$A16^(8+1))/(1-$A16))/(1+8*$B$5)</f>
        <v>2.40495075555556</v>
      </c>
      <c r="F16" s="30" t="n">
        <f aca="false">IF($A16=1,4+1,(1-$A16^(4+1))/(1-$A16))</f>
        <v>3.3616</v>
      </c>
    </row>
    <row r="17" customFormat="false" ht="15" hidden="false" customHeight="true" outlineLevel="0" collapsed="false">
      <c r="A17" s="13" t="n">
        <v>0.9</v>
      </c>
      <c r="B17" s="30" t="n">
        <f aca="false">IF($A17=1,2+1,(1-$A17^(2+1))/(1-$A17))/(1+2*$B$5)</f>
        <v>2.25833333333333</v>
      </c>
      <c r="C17" s="30" t="n">
        <f aca="false">IF($A17=1,4+1,(1-$A17^(4+1))/(1-$A17))/(1+4*$B$5)</f>
        <v>2.92507142857143</v>
      </c>
      <c r="D17" s="30" t="n">
        <f aca="false">IF($A17=1,6+1,(1-$A17^(6+1))/(1-$A17))/(1+6*$B$5)</f>
        <v>3.260644375</v>
      </c>
      <c r="E17" s="30" t="n">
        <f aca="false">IF($A17=1,8+1,(1-$A17^(8+1))/(1-$A17))/(1+8*$B$5)</f>
        <v>3.40321950555556</v>
      </c>
      <c r="F17" s="30" t="n">
        <f aca="false">IF($A17=1,4+1,(1-$A17^(4+1))/(1-$A17))</f>
        <v>4.0951</v>
      </c>
    </row>
    <row r="19" customFormat="false" ht="15" hidden="false" customHeight="true" outlineLevel="0" collapsed="false">
      <c r="A19" s="25" t="s">
        <v>115</v>
      </c>
    </row>
    <row r="20" customFormat="false" ht="15" hidden="false" customHeight="true" outlineLevel="0" collapsed="false">
      <c r="A20" s="2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6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0" t="s">
        <v>117</v>
      </c>
    </row>
    <row r="3" customFormat="false" ht="15" hidden="false" customHeight="true" outlineLevel="0" collapsed="false">
      <c r="A3" s="12" t="s">
        <v>118</v>
      </c>
      <c r="B3" s="31" t="n">
        <v>15</v>
      </c>
    </row>
    <row r="4" customFormat="false" ht="15" hidden="false" customHeight="true" outlineLevel="0" collapsed="false">
      <c r="A4" s="12" t="s">
        <v>26</v>
      </c>
      <c r="B4" s="31" t="n">
        <v>7.5</v>
      </c>
    </row>
    <row r="5" customFormat="false" ht="15" hidden="false" customHeight="true" outlineLevel="0" collapsed="false">
      <c r="A5" s="12" t="s">
        <v>119</v>
      </c>
      <c r="B5" s="31" t="n">
        <v>3.35</v>
      </c>
    </row>
    <row r="6" customFormat="false" ht="15" hidden="false" customHeight="true" outlineLevel="0" collapsed="false">
      <c r="A6" s="12" t="s">
        <v>120</v>
      </c>
      <c r="B6" s="31" t="n">
        <v>989</v>
      </c>
    </row>
    <row r="7" customFormat="false" ht="15" hidden="false" customHeight="true" outlineLevel="0" collapsed="false">
      <c r="A7" s="12" t="s">
        <v>121</v>
      </c>
      <c r="B7" s="31" t="n">
        <v>0.5</v>
      </c>
    </row>
    <row r="8" customFormat="false" ht="15" hidden="false" customHeight="true" outlineLevel="0" collapsed="false">
      <c r="A8" s="12" t="s">
        <v>30</v>
      </c>
      <c r="B8" s="31" t="n">
        <v>131072</v>
      </c>
    </row>
    <row r="9" customFormat="false" ht="15" hidden="false" customHeight="true" outlineLevel="0" collapsed="false">
      <c r="A9" s="12" t="s">
        <v>122</v>
      </c>
      <c r="B9" s="31" t="n">
        <v>2048</v>
      </c>
    </row>
    <row r="11" customFormat="false" ht="23.25" hidden="false" customHeight="true" outlineLevel="0" collapsed="false">
      <c r="A11" s="11" t="s">
        <v>123</v>
      </c>
      <c r="B11" s="11" t="s">
        <v>124</v>
      </c>
      <c r="C11" s="11" t="s">
        <v>125</v>
      </c>
      <c r="D11" s="11" t="s">
        <v>126</v>
      </c>
      <c r="E11" s="11" t="s">
        <v>127</v>
      </c>
      <c r="F11" s="11" t="s">
        <v>128</v>
      </c>
      <c r="G11" s="11" t="s">
        <v>129</v>
      </c>
    </row>
    <row r="12" customFormat="false" ht="15" hidden="false" customHeight="true" outlineLevel="0" collapsed="false">
      <c r="A12" s="15" t="n">
        <v>1</v>
      </c>
      <c r="B12" s="30" t="n">
        <f aca="false">($B$3*1000000000+A12*$B$9*$B$8)/($B$5*1000000000000)*1000</f>
        <v>4.55774192716418</v>
      </c>
      <c r="C12" s="30" t="n">
        <f aca="false">2*$B$4*1000000000*A12/($B$6*1000000000000*$B$7)*1000</f>
        <v>0.0303336703741153</v>
      </c>
      <c r="D12" s="30" t="n">
        <f aca="false">MAX(B12,C12)</f>
        <v>4.55774192716418</v>
      </c>
      <c r="E12" s="21" t="n">
        <f aca="false">A12/D12*1000</f>
        <v>219.40689402355</v>
      </c>
      <c r="F12" s="24" t="n">
        <f aca="false">1000/D12</f>
        <v>219.40689402355</v>
      </c>
      <c r="G12" s="32" t="n">
        <f aca="false">A12*$B$9*$B$8/1000000000</f>
        <v>0.268435456</v>
      </c>
    </row>
    <row r="13" customFormat="false" ht="15" hidden="false" customHeight="true" outlineLevel="0" collapsed="false">
      <c r="A13" s="15" t="n">
        <v>2</v>
      </c>
      <c r="B13" s="30" t="n">
        <f aca="false">($B$3*1000000000+A13*$B$9*$B$8)/($B$5*1000000000000)*1000</f>
        <v>4.63787191402985</v>
      </c>
      <c r="C13" s="30" t="n">
        <f aca="false">2*$B$4*1000000000*A13/($B$6*1000000000000*$B$7)*1000</f>
        <v>0.0606673407482305</v>
      </c>
      <c r="D13" s="30" t="n">
        <f aca="false">MAX(B13,C13)</f>
        <v>4.63787191402985</v>
      </c>
      <c r="E13" s="21" t="n">
        <f aca="false">A13/D13*1000</f>
        <v>431.232262786274</v>
      </c>
      <c r="F13" s="24" t="n">
        <f aca="false">1000/D13</f>
        <v>215.616131393137</v>
      </c>
      <c r="G13" s="32" t="n">
        <f aca="false">A13*$B$9*$B$8/1000000000</f>
        <v>0.536870912</v>
      </c>
    </row>
    <row r="14" customFormat="false" ht="15" hidden="false" customHeight="true" outlineLevel="0" collapsed="false">
      <c r="A14" s="15" t="n">
        <v>4</v>
      </c>
      <c r="B14" s="30" t="n">
        <f aca="false">($B$3*1000000000+A14*$B$9*$B$8)/($B$5*1000000000000)*1000</f>
        <v>4.79813188776119</v>
      </c>
      <c r="C14" s="30" t="n">
        <f aca="false">2*$B$4*1000000000*A14/($B$6*1000000000000*$B$7)*1000</f>
        <v>0.121334681496461</v>
      </c>
      <c r="D14" s="30" t="n">
        <f aca="false">MAX(B14,C14)</f>
        <v>4.79813188776119</v>
      </c>
      <c r="E14" s="21" t="n">
        <f aca="false">A14/D14*1000</f>
        <v>833.657784648016</v>
      </c>
      <c r="F14" s="24" t="n">
        <f aca="false">1000/D14</f>
        <v>208.414446162004</v>
      </c>
      <c r="G14" s="32" t="n">
        <f aca="false">A14*$B$9*$B$8/1000000000</f>
        <v>1.073741824</v>
      </c>
    </row>
    <row r="15" customFormat="false" ht="15" hidden="false" customHeight="true" outlineLevel="0" collapsed="false">
      <c r="A15" s="15" t="n">
        <v>8</v>
      </c>
      <c r="B15" s="30" t="n">
        <f aca="false">($B$3*1000000000+A15*$B$9*$B$8)/($B$5*1000000000000)*1000</f>
        <v>5.11865183522388</v>
      </c>
      <c r="C15" s="30" t="n">
        <f aca="false">2*$B$4*1000000000*A15/($B$6*1000000000000*$B$7)*1000</f>
        <v>0.242669362992922</v>
      </c>
      <c r="D15" s="30" t="n">
        <f aca="false">MAX(B15,C15)</f>
        <v>5.11865183522388</v>
      </c>
      <c r="E15" s="21" t="n">
        <f aca="false">A15/D15*1000</f>
        <v>1562.91153560166</v>
      </c>
      <c r="F15" s="24" t="n">
        <f aca="false">1000/D15</f>
        <v>195.363941950207</v>
      </c>
      <c r="G15" s="32" t="n">
        <f aca="false">A15*$B$9*$B$8/1000000000</f>
        <v>2.147483648</v>
      </c>
    </row>
    <row r="16" customFormat="false" ht="15" hidden="false" customHeight="true" outlineLevel="0" collapsed="false">
      <c r="A16" s="15" t="n">
        <v>16</v>
      </c>
      <c r="B16" s="30" t="n">
        <f aca="false">($B$3*1000000000+A16*$B$9*$B$8)/($B$5*1000000000000)*1000</f>
        <v>5.75969173014925</v>
      </c>
      <c r="C16" s="30" t="n">
        <f aca="false">2*$B$4*1000000000*A16/($B$6*1000000000000*$B$7)*1000</f>
        <v>0.485338725985844</v>
      </c>
      <c r="D16" s="30" t="n">
        <f aca="false">MAX(B16,C16)</f>
        <v>5.75969173014925</v>
      </c>
      <c r="E16" s="21" t="n">
        <f aca="false">A16/D16*1000</f>
        <v>2777.92644982154</v>
      </c>
      <c r="F16" s="24" t="n">
        <f aca="false">1000/D16</f>
        <v>173.620403113846</v>
      </c>
      <c r="G16" s="32" t="n">
        <f aca="false">A16*$B$9*$B$8/1000000000</f>
        <v>4.294967296</v>
      </c>
    </row>
    <row r="17" customFormat="false" ht="15" hidden="false" customHeight="true" outlineLevel="0" collapsed="false">
      <c r="A17" s="15" t="n">
        <v>32</v>
      </c>
      <c r="B17" s="30" t="n">
        <f aca="false">($B$3*1000000000+A17*$B$9*$B$8)/($B$5*1000000000000)*1000</f>
        <v>7.04177152</v>
      </c>
      <c r="C17" s="30" t="n">
        <f aca="false">2*$B$4*1000000000*A17/($B$6*1000000000000*$B$7)*1000</f>
        <v>0.970677451971689</v>
      </c>
      <c r="D17" s="30" t="n">
        <f aca="false">MAX(B17,C17)</f>
        <v>7.04177152</v>
      </c>
      <c r="E17" s="21" t="n">
        <f aca="false">A17/D17*1000</f>
        <v>4544.31103155133</v>
      </c>
      <c r="F17" s="24" t="n">
        <f aca="false">1000/D17</f>
        <v>142.009719735979</v>
      </c>
      <c r="G17" s="32" t="n">
        <f aca="false">A17*$B$9*$B$8/1000000000</f>
        <v>8.589934592</v>
      </c>
    </row>
    <row r="18" customFormat="false" ht="15" hidden="false" customHeight="true" outlineLevel="0" collapsed="false">
      <c r="A18" s="15" t="n">
        <v>64</v>
      </c>
      <c r="B18" s="30" t="n">
        <f aca="false">($B$3*1000000000+A18*$B$9*$B$8)/($B$5*1000000000000)*1000</f>
        <v>9.60593109970149</v>
      </c>
      <c r="C18" s="30" t="n">
        <f aca="false">2*$B$4*1000000000*A18/($B$6*1000000000000*$B$7)*1000</f>
        <v>1.94135490394338</v>
      </c>
      <c r="D18" s="30" t="n">
        <f aca="false">MAX(B18,C18)</f>
        <v>9.60593109970149</v>
      </c>
      <c r="E18" s="21" t="n">
        <f aca="false">A18/D18*1000</f>
        <v>6662.5503905591</v>
      </c>
      <c r="F18" s="24" t="n">
        <f aca="false">1000/D18</f>
        <v>104.102349852486</v>
      </c>
      <c r="G18" s="32" t="n">
        <f aca="false">A18*$B$9*$B$8/1000000000</f>
        <v>17.179869184</v>
      </c>
    </row>
    <row r="19" customFormat="false" ht="15" hidden="false" customHeight="true" outlineLevel="0" collapsed="false">
      <c r="A19" s="15" t="n">
        <v>128</v>
      </c>
      <c r="B19" s="30" t="n">
        <f aca="false">($B$3*1000000000+A19*$B$9*$B$8)/($B$5*1000000000000)*1000</f>
        <v>14.7342502591045</v>
      </c>
      <c r="C19" s="30" t="n">
        <f aca="false">2*$B$4*1000000000*A19/($B$6*1000000000000*$B$7)*1000</f>
        <v>3.88270980788675</v>
      </c>
      <c r="D19" s="30" t="n">
        <f aca="false">MAX(B19,C19)</f>
        <v>14.7342502591045</v>
      </c>
      <c r="E19" s="21" t="n">
        <f aca="false">A19/D19*1000</f>
        <v>8687.24215681807</v>
      </c>
      <c r="F19" s="24" t="n">
        <f aca="false">1000/D19</f>
        <v>67.8690793501412</v>
      </c>
      <c r="G19" s="32" t="n">
        <f aca="false">A19*$B$9*$B$8/1000000000</f>
        <v>34.359738368</v>
      </c>
    </row>
    <row r="20" customFormat="false" ht="15" hidden="false" customHeight="true" outlineLevel="0" collapsed="false">
      <c r="A20" s="15" t="n">
        <v>223</v>
      </c>
      <c r="B20" s="30" t="n">
        <f aca="false">($B$3*1000000000+A20*$B$9*$B$8)/($B$5*1000000000000)*1000</f>
        <v>22.3465990113433</v>
      </c>
      <c r="C20" s="30" t="n">
        <f aca="false">2*$B$4*1000000000*A20/($B$6*1000000000000*$B$7)*1000</f>
        <v>6.7644084934277</v>
      </c>
      <c r="D20" s="30" t="n">
        <f aca="false">MAX(B20,C20)</f>
        <v>22.3465990113433</v>
      </c>
      <c r="E20" s="21" t="n">
        <f aca="false">A20/D20*1000</f>
        <v>9979.14715732822</v>
      </c>
      <c r="F20" s="24" t="n">
        <f aca="false">1000/D20</f>
        <v>44.7495388220997</v>
      </c>
      <c r="G20" s="32" t="n">
        <f aca="false">A20*$B$9*$B$8/1000000000</f>
        <v>59.861106688</v>
      </c>
    </row>
    <row r="22" customFormat="false" ht="15" hidden="false" customHeight="true" outlineLevel="0" collapsed="false">
      <c r="A22" s="18" t="s">
        <v>130</v>
      </c>
      <c r="B22" s="24" t="n">
        <f aca="false">B3*1000000000/(B9*B8)</f>
        <v>55.8793544769287</v>
      </c>
    </row>
    <row r="24" customFormat="false" ht="15" hidden="false" customHeight="true" outlineLevel="0" collapsed="false">
      <c r="A24" s="2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2026-10-02T15:22:32Z</dcterms:created>
  <dc:creator>Leonhard Korowajczuk</dc:creator>
  <dc:description/>
  <dc:language>en-US</dc:language>
  <cp:lastModifiedBy>Leonhard Korowajczuk</cp:lastModifiedBy>
  <dcterms:modified xsi:type="dcterms:W3CDTF">2026-10-26T14:20:12Z</dcterms:modified>
  <cp:revision>0</cp:revision>
  <dc:subject/>
  <dc:title>Inference Mechanics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