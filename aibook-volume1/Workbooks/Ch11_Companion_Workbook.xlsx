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eference Losses" sheetId="2" state="visible" r:id="rId4"/>
    <sheet name="GRPO Advantages" sheetId="3" state="visible" r:id="rId5"/>
    <sheet name="Majority Voting" sheetId="4" state="visible" r:id="rId6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<sst xmlns="http://schemas.openxmlformats.org/spreadsheetml/2006/main" count="48" uniqueCount="48">
  <si>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Chapter 11 — Post-Training, Alignment and Reasoning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</si>
  <si>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</si>
  <si>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</si>
  <si>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</si>
  <si>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</si>
  <si>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Preference Losses</t>
  </si>
  <si>
    <t xml:space="preserve">Bradley–Terry reward-model loss for one comparison and one DPO step.</t>
  </si>
  <si>
    <t xml:space="preserve">Worked Examples 11.1 and 11.2 (Sections 11.2 and 11.3)</t>
  </si>
  <si>
    <t xml:space="preserve">GRPO Advantages</t>
  </si>
  <si>
    <t xml:space="preserve">Group mean, standard deviation and advantages of eight sampled answers.</t>
  </si>
  <si>
    <t xml:space="preserve">Worked Example 11.3 and Figure 11.4 (Section 11.5.2)</t>
  </si>
  <si>
    <t xml:space="preserve">Majority Voting</t>
  </si>
  <si>
    <t xml:space="preserve">Idealized majority-vote accuracy with two possible answers, for the three single-sample accuracies of the figure.</t>
  </si>
  <si>
    <t xml:space="preserve">Figure 11.5 (Section 11.5.3)</t>
  </si>
  <si>
    <t xml:space="preserve">Bradley–Terry Reward-Model Loss and DPO Loss (Worked Examples 11.1 and 11.2)</t>
  </si>
  <si>
    <t xml:space="preserve">Reward of the preferred response, r_w = r(x, y_w)</t>
  </si>
  <si>
    <t xml:space="preserve">Reward of the rejected response, r_l = r(x, y_l)</t>
  </si>
  <si>
    <t xml:space="preserve">β (DPO)</t>
  </si>
  <si>
    <t xml:space="preserve">Policy log-prob, preferred</t>
  </si>
  <si>
    <t xml:space="preserve">Reference log-prob, preferred</t>
  </si>
  <si>
    <t xml:space="preserve">Policy log-prob, rejected</t>
  </si>
  <si>
    <t xml:space="preserve">Reference log-prob, rejected</t>
  </si>
  <si>
    <t xml:space="preserve">Bradley–Terry P(y_w preferred) = σ(r_w − r_l)</t>
  </si>
  <si>
    <t xml:space="preserve">Reward-model loss −ln P (nats)</t>
  </si>
  <si>
    <t xml:space="preserve">Gradient w.r.t. the score difference, −(1 − P)</t>
  </si>
  <si>
    <t xml:space="preserve">P with the scores reversed, σ(r_l − r_w)</t>
  </si>
  <si>
    <t xml:space="preserve">Loss with the scores reversed (nats)</t>
  </si>
  <si>
    <t xml:space="preserve">Loss at a zero margin, ln 2 (nats)</t>
  </si>
  <si>
    <t xml:space="preserve">DPO implied reward, preferred</t>
  </si>
  <si>
    <t xml:space="preserve">DPO implied reward, rejected</t>
  </si>
  <si>
    <t xml:space="preserve">DPO margin</t>
  </si>
  <si>
    <t xml:space="preserve">σ(margin)</t>
  </si>
  <si>
    <t xml:space="preserve">DPO loss −ln σ(margin) (nats)</t>
  </si>
  <si>
    <t xml:space="preserve">DPO gradient weight 1 − σ(margin)</t>
  </si>
  <si>
    <t xml:space="preserve">Rows 3–4 and 12–16: reward model (Worked Example 11.1). Rows 5–9 and 18–23: one DPO step (Worked Example 11.2). Row 17 applies to both. Losses in nats.</t>
  </si>
  <si>
    <t xml:space="preserve">Group-Relative Advantages (Worked Example 11.3, Figure 11.4)</t>
  </si>
  <si>
    <t xml:space="preserve">Sample</t>
  </si>
  <si>
    <t xml:space="preserve">Reward (1 correct, 0 wrong)</t>
  </si>
  <si>
    <t xml:space="preserve">Advantage</t>
  </si>
  <si>
    <t xml:space="preserve">Group mean</t>
  </si>
  <si>
    <t xml:space="preserve">Group standard deviation (population)</t>
  </si>
  <si>
    <t xml:space="preserve">Group standard deviation (sample)</t>
  </si>
  <si>
    <t xml:space="preserve">Advantages use the population standard deviation, as in Worked Example 11.3. If all eight rewards are equal, every advantage is zero (a degenerate group).</t>
  </si>
  <si>
    <t xml:space="preserve">Idealized Majority-Vote Accuracy (Figure 11.5)</t>
  </si>
  <si>
    <t xml:space="preserve">Single-sample accuracy p (two possible answers)</t>
  </si>
  <si>
    <t xml:space="preserve">Samples k (odd)</t>
  </si>
  <si>
    <t xml:space="preserve">Idealized: independent samples and two possible answers (an even k counts a tie as half right). Real errors are correlated, so gains are smaller (Section 11.5.3).</t>
  </si>
  <si>
    <t xml:space="preserve">Not computed here: the dashed curve of Figure 11.5 (many possible answers, p = 37.5% with five equally likely wrong ones, ties broken at random), which rises from 37.5% at k = 1 to about 66% at k = 9 and 99% at k = 63.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</si>
</sst>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"/>
    <numFmt numFmtId="167" formatCode="0.00"/>
    <numFmt numFmtId="168" formatCode="0%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30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30" hidden="false" customHeight="true" outlineLevel="0" collapsed="false">
      <c r="A7" s="6" t="s">
        <v>11</v>
      </c>
      <c r="B7" s="7" t="s">
        <v>12</v>
      </c>
      <c r="C7" s="7" t="s">
        <v>13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</cols>
  <sheetData>
    <row r="1" customFormat="false" ht="15.75" hidden="false" customHeight="true" outlineLevel="0" collapsed="false">
      <c r="A1" s="8" t="s">
        <v>14</v>
      </c>
    </row>
    <row r="3" customFormat="false" ht="15" hidden="false" customHeight="true" outlineLevel="0" collapsed="false">
      <c r="A3" s="9" t="s">
        <v>15</v>
      </c>
      <c r="B3" s="10" t="n">
        <v>0.9</v>
      </c>
    </row>
    <row r="4" customFormat="false" ht="15" hidden="false" customHeight="true" outlineLevel="0" collapsed="false">
      <c r="A4" s="9" t="s">
        <v>16</v>
      </c>
      <c r="B4" s="10" t="n">
        <v>-0.3</v>
      </c>
    </row>
    <row r="5" customFormat="false" ht="15" hidden="false" customHeight="true" outlineLevel="0" collapsed="false">
      <c r="A5" s="9" t="s">
        <v>17</v>
      </c>
      <c r="B5" s="10" t="n">
        <v>0.1</v>
      </c>
    </row>
    <row r="6" customFormat="false" ht="15" hidden="false" customHeight="true" outlineLevel="0" collapsed="false">
      <c r="A6" s="9" t="s">
        <v>18</v>
      </c>
      <c r="B6" s="10" t="n">
        <v>-12</v>
      </c>
    </row>
    <row r="7" customFormat="false" ht="15" hidden="false" customHeight="true" outlineLevel="0" collapsed="false">
      <c r="A7" s="9" t="s">
        <v>19</v>
      </c>
      <c r="B7" s="10" t="n">
        <v>-13</v>
      </c>
    </row>
    <row r="8" customFormat="false" ht="15" hidden="false" customHeight="true" outlineLevel="0" collapsed="false">
      <c r="A8" s="9" t="s">
        <v>20</v>
      </c>
      <c r="B8" s="10" t="n">
        <v>-14</v>
      </c>
    </row>
    <row r="9" customFormat="false" ht="15" hidden="false" customHeight="true" outlineLevel="0" collapsed="false">
      <c r="A9" s="9" t="s">
        <v>21</v>
      </c>
      <c r="B9" s="10" t="n">
        <v>-12.5</v>
      </c>
    </row>
    <row r="12" customFormat="false" ht="15" hidden="false" customHeight="true" outlineLevel="0" collapsed="false">
      <c r="A12" s="11" t="s">
        <v>22</v>
      </c>
      <c r="B12" s="12" t="n">
        <f aca="false">1/(1+EXP(-(B3-B4)))</f>
        <v>0.768524783499018</v>
      </c>
    </row>
    <row r="13" customFormat="false" ht="15" hidden="false" customHeight="true" outlineLevel="0" collapsed="false">
      <c r="A13" s="11" t="s">
        <v>23</v>
      </c>
      <c r="B13" s="12" t="n">
        <f aca="false">-LN(B12)</f>
        <v>0.263282467338031</v>
      </c>
    </row>
    <row r="14" customFormat="false" ht="15" hidden="false" customHeight="true" outlineLevel="0" collapsed="false">
      <c r="A14" s="11" t="s">
        <v>24</v>
      </c>
      <c r="B14" s="12" t="n">
        <f aca="false">-(1-B12)</f>
        <v>-0.231475216500982</v>
      </c>
    </row>
    <row r="15" customFormat="false" ht="15" hidden="false" customHeight="true" outlineLevel="0" collapsed="false">
      <c r="A15" s="11" t="s">
        <v>25</v>
      </c>
      <c r="B15" s="12" t="n">
        <f aca="false">1/(1+EXP(-(B4-B3)))</f>
        <v>0.231475216500982</v>
      </c>
    </row>
    <row r="16" customFormat="false" ht="15" hidden="false" customHeight="true" outlineLevel="0" collapsed="false">
      <c r="A16" s="11" t="s">
        <v>26</v>
      </c>
      <c r="B16" s="12" t="n">
        <f aca="false">-LN(B15)</f>
        <v>1.46328246733803</v>
      </c>
    </row>
    <row r="17" customFormat="false" ht="15" hidden="false" customHeight="true" outlineLevel="0" collapsed="false">
      <c r="A17" s="11" t="s">
        <v>27</v>
      </c>
      <c r="B17" s="12" t="n">
        <f aca="false">LN(2)</f>
        <v>0.693147180559945</v>
      </c>
    </row>
    <row r="18" customFormat="false" ht="15" hidden="false" customHeight="true" outlineLevel="0" collapsed="false">
      <c r="A18" s="11" t="s">
        <v>28</v>
      </c>
      <c r="B18" s="12" t="n">
        <f aca="false">B5*(B6-B7)</f>
        <v>0.1</v>
      </c>
    </row>
    <row r="19" customFormat="false" ht="15" hidden="false" customHeight="true" outlineLevel="0" collapsed="false">
      <c r="A19" s="11" t="s">
        <v>29</v>
      </c>
      <c r="B19" s="12" t="n">
        <f aca="false">B5*(B8-B9)</f>
        <v>-0.15</v>
      </c>
    </row>
    <row r="20" customFormat="false" ht="15" hidden="false" customHeight="true" outlineLevel="0" collapsed="false">
      <c r="A20" s="11" t="s">
        <v>30</v>
      </c>
      <c r="B20" s="12" t="n">
        <f aca="false">B18-B19</f>
        <v>0.25</v>
      </c>
    </row>
    <row r="21" customFormat="false" ht="15" hidden="false" customHeight="true" outlineLevel="0" collapsed="false">
      <c r="A21" s="11" t="s">
        <v>31</v>
      </c>
      <c r="B21" s="12" t="n">
        <f aca="false">1/(1+EXP(-B20))</f>
        <v>0.562176500885798</v>
      </c>
    </row>
    <row r="22" customFormat="false" ht="15" hidden="false" customHeight="true" outlineLevel="0" collapsed="false">
      <c r="A22" s="11" t="s">
        <v>32</v>
      </c>
      <c r="B22" s="12" t="n">
        <f aca="false">-LN(B21)</f>
        <v>0.575939419878844</v>
      </c>
    </row>
    <row r="23" customFormat="false" ht="15" hidden="false" customHeight="true" outlineLevel="0" collapsed="false">
      <c r="A23" s="11" t="s">
        <v>33</v>
      </c>
      <c r="B23" s="12" t="n">
        <f aca="false">1-B21</f>
        <v>0.437823499114202</v>
      </c>
    </row>
    <row r="25" customFormat="false" ht="15" hidden="false" customHeight="true" outlineLevel="0" collapsed="false">
      <c r="A25" s="1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6"/>
    <col collapsed="false" customWidth="true" hidden="false" outlineLevel="0" max="3" min="3" style="1" width="12"/>
  </cols>
  <sheetData>
    <row r="1" customFormat="false" ht="15.75" hidden="false" customHeight="true" outlineLevel="0" collapsed="false">
      <c r="A1" s="8" t="s">
        <v>35</v>
      </c>
    </row>
    <row r="3" customFormat="false" ht="15" hidden="false" customHeight="true" outlineLevel="0" collapsed="false">
      <c r="A3" s="14" t="s">
        <v>36</v>
      </c>
      <c r="B3" s="14" t="s">
        <v>37</v>
      </c>
      <c r="C3" s="14" t="s">
        <v>38</v>
      </c>
    </row>
    <row r="4" customFormat="false" ht="15" hidden="false" customHeight="true" outlineLevel="0" collapsed="false">
      <c r="A4" s="15" t="n">
        <v>1</v>
      </c>
      <c r="B4" s="16" t="n">
        <v>1</v>
      </c>
      <c r="C4" s="17" t="n">
        <f aca="false">IFERROR((B4-$B$13)/$B$14,0)</f>
        <v>1.29099444873581</v>
      </c>
    </row>
    <row r="5" customFormat="false" ht="15" hidden="false" customHeight="true" outlineLevel="0" collapsed="false">
      <c r="A5" s="15" t="n">
        <v>2</v>
      </c>
      <c r="B5" s="16" t="n">
        <v>0</v>
      </c>
      <c r="C5" s="17" t="n">
        <f aca="false">IFERROR((B5-$B$13)/$B$14,0)</f>
        <v>-0.774596669241483</v>
      </c>
    </row>
    <row r="6" customFormat="false" ht="15" hidden="false" customHeight="true" outlineLevel="0" collapsed="false">
      <c r="A6" s="15" t="n">
        <v>3</v>
      </c>
      <c r="B6" s="16" t="n">
        <v>1</v>
      </c>
      <c r="C6" s="17" t="n">
        <f aca="false">IFERROR((B6-$B$13)/$B$14,0)</f>
        <v>1.29099444873581</v>
      </c>
    </row>
    <row r="7" customFormat="false" ht="15" hidden="false" customHeight="true" outlineLevel="0" collapsed="false">
      <c r="A7" s="15" t="n">
        <v>4</v>
      </c>
      <c r="B7" s="16" t="n">
        <v>0</v>
      </c>
      <c r="C7" s="17" t="n">
        <f aca="false">IFERROR((B7-$B$13)/$B$14,0)</f>
        <v>-0.774596669241483</v>
      </c>
    </row>
    <row r="8" customFormat="false" ht="15" hidden="false" customHeight="true" outlineLevel="0" collapsed="false">
      <c r="A8" s="15" t="n">
        <v>5</v>
      </c>
      <c r="B8" s="16" t="n">
        <v>0</v>
      </c>
      <c r="C8" s="17" t="n">
        <f aca="false">IFERROR((B8-$B$13)/$B$14,0)</f>
        <v>-0.774596669241483</v>
      </c>
    </row>
    <row r="9" customFormat="false" ht="15" hidden="false" customHeight="true" outlineLevel="0" collapsed="false">
      <c r="A9" s="15" t="n">
        <v>6</v>
      </c>
      <c r="B9" s="16" t="n">
        <v>1</v>
      </c>
      <c r="C9" s="17" t="n">
        <f aca="false">IFERROR((B9-$B$13)/$B$14,0)</f>
        <v>1.29099444873581</v>
      </c>
    </row>
    <row r="10" customFormat="false" ht="15" hidden="false" customHeight="true" outlineLevel="0" collapsed="false">
      <c r="A10" s="15" t="n">
        <v>7</v>
      </c>
      <c r="B10" s="16" t="n">
        <v>0</v>
      </c>
      <c r="C10" s="17" t="n">
        <f aca="false">IFERROR((B10-$B$13)/$B$14,0)</f>
        <v>-0.774596669241483</v>
      </c>
    </row>
    <row r="11" customFormat="false" ht="15" hidden="false" customHeight="true" outlineLevel="0" collapsed="false">
      <c r="A11" s="15" t="n">
        <v>8</v>
      </c>
      <c r="B11" s="16" t="n">
        <v>0</v>
      </c>
      <c r="C11" s="17" t="n">
        <f aca="false">IFERROR((B11-$B$13)/$B$14,0)</f>
        <v>-0.774596669241483</v>
      </c>
    </row>
    <row r="13" customFormat="false" ht="15" hidden="false" customHeight="true" outlineLevel="0" collapsed="false">
      <c r="A13" s="9" t="s">
        <v>39</v>
      </c>
      <c r="B13" s="18" t="n">
        <f aca="false">AVERAGE(B4:B11)</f>
        <v>0.375</v>
      </c>
    </row>
    <row r="14" customFormat="false" ht="15" hidden="false" customHeight="true" outlineLevel="0" collapsed="false">
      <c r="A14" s="9" t="s">
        <v>40</v>
      </c>
      <c r="B14" s="18" t="n">
        <f aca="false">STDEVP(B4:B11)</f>
        <v>0.484122918275927</v>
      </c>
    </row>
    <row r="15" customFormat="false" ht="15" hidden="false" customHeight="true" outlineLevel="0" collapsed="false">
      <c r="A15" s="9" t="s">
        <v>41</v>
      </c>
      <c r="B15" s="18" t="n">
        <f aca="false">STDEV(B4:B11)</f>
        <v>0.517549169506766</v>
      </c>
    </row>
    <row r="17" customFormat="false" ht="15" hidden="false" customHeight="true" outlineLevel="0" collapsed="false">
      <c r="A17" s="1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24"/>
  </cols>
  <sheetData>
    <row r="1" customFormat="false" ht="15.75" hidden="false" customHeight="true" outlineLevel="0" collapsed="false">
      <c r="A1" s="8" t="s">
        <v>43</v>
      </c>
    </row>
    <row r="3" customFormat="false" ht="15" hidden="false" customHeight="true" outlineLevel="0" collapsed="false">
      <c r="A3" s="9" t="s">
        <v>44</v>
      </c>
      <c r="B3" s="19" t="n">
        <v>0.7</v>
      </c>
      <c r="C3" s="19" t="n">
        <v>0.6</v>
      </c>
      <c r="D3" s="19" t="n">
        <v>0.45</v>
      </c>
    </row>
    <row r="5" customFormat="false" ht="30" hidden="false" customHeight="true" outlineLevel="0" collapsed="false">
      <c r="A5" s="14" t="s">
        <v>45</v>
      </c>
      <c r="B5" s="14" t="str">
        <f aca="false">"Majority-vote accuracy, p = "&amp;TEXT(B$3,"0%")</f>
        <v>Majority-vote accuracy, p = 70%</v>
      </c>
      <c r="C5" s="14" t="str">
        <f aca="false">"Majority-vote accuracy, p = "&amp;TEXT(C$3,"0%")</f>
        <v>Majority-vote accuracy, p = 60%</v>
      </c>
      <c r="D5" s="14" t="str">
        <f aca="false">"Majority-vote accuracy, p = "&amp;TEXT(D$3,"0%")</f>
        <v>Majority-vote accuracy, p = 45%</v>
      </c>
    </row>
    <row r="6" customFormat="false" ht="15" hidden="false" customHeight="true" outlineLevel="0" collapsed="false">
      <c r="A6" s="20" t="n">
        <v>1</v>
      </c>
      <c r="B6" s="21" t="n">
        <f aca="false">1-BINOMDIST(INT($A6/2),$A6,B$3,TRUE())+IF(MOD($A6,2)=0,BINOMDIST($A6/2,$A6,B$3,FALSE())/2,0)</f>
        <v>0.7</v>
      </c>
      <c r="C6" s="21" t="n">
        <f aca="false">1-BINOMDIST(INT($A6/2),$A6,C$3,TRUE())+IF(MOD($A6,2)=0,BINOMDIST($A6/2,$A6,C$3,FALSE())/2,0)</f>
        <v>0.6</v>
      </c>
      <c r="D6" s="21" t="n">
        <f aca="false">1-BINOMDIST(INT($A6/2),$A6,D$3,TRUE())+IF(MOD($A6,2)=0,BINOMDIST($A6/2,$A6,D$3,FALSE())/2,0)</f>
        <v>0.45</v>
      </c>
    </row>
    <row r="7" customFormat="false" ht="15" hidden="false" customHeight="true" outlineLevel="0" collapsed="false">
      <c r="A7" s="20" t="n">
        <v>3</v>
      </c>
      <c r="B7" s="21" t="n">
        <f aca="false">1-BINOMDIST(INT($A7/2),$A7,B$3,TRUE())+IF(MOD($A7,2)=0,BINOMDIST($A7/2,$A7,B$3,FALSE())/2,0)</f>
        <v>0.784</v>
      </c>
      <c r="C7" s="21" t="n">
        <f aca="false">1-BINOMDIST(INT($A7/2),$A7,C$3,TRUE())+IF(MOD($A7,2)=0,BINOMDIST($A7/2,$A7,C$3,FALSE())/2,0)</f>
        <v>0.648</v>
      </c>
      <c r="D7" s="21" t="n">
        <f aca="false">1-BINOMDIST(INT($A7/2),$A7,D$3,TRUE())+IF(MOD($A7,2)=0,BINOMDIST($A7/2,$A7,D$3,FALSE())/2,0)</f>
        <v>0.42525</v>
      </c>
    </row>
    <row r="8" customFormat="false" ht="15" hidden="false" customHeight="true" outlineLevel="0" collapsed="false">
      <c r="A8" s="20" t="n">
        <v>5</v>
      </c>
      <c r="B8" s="21" t="n">
        <f aca="false">1-BINOMDIST(INT($A8/2),$A8,B$3,TRUE())+IF(MOD($A8,2)=0,BINOMDIST($A8/2,$A8,B$3,FALSE())/2,0)</f>
        <v>0.83692</v>
      </c>
      <c r="C8" s="21" t="n">
        <f aca="false">1-BINOMDIST(INT($A8/2),$A8,C$3,TRUE())+IF(MOD($A8,2)=0,BINOMDIST($A8/2,$A8,C$3,FALSE())/2,0)</f>
        <v>0.68256</v>
      </c>
      <c r="D8" s="21" t="n">
        <f aca="false">1-BINOMDIST(INT($A8/2),$A8,D$3,TRUE())+IF(MOD($A8,2)=0,BINOMDIST($A8/2,$A8,D$3,FALSE())/2,0)</f>
        <v>0.406873125</v>
      </c>
    </row>
    <row r="9" customFormat="false" ht="15" hidden="false" customHeight="true" outlineLevel="0" collapsed="false">
      <c r="A9" s="20" t="n">
        <v>9</v>
      </c>
      <c r="B9" s="21" t="n">
        <f aca="false">1-BINOMDIST(INT($A9/2),$A9,B$3,TRUE())+IF(MOD($A9,2)=0,BINOMDIST($A9/2,$A9,B$3,FALSE())/2,0)</f>
        <v>0.90119134</v>
      </c>
      <c r="C9" s="21" t="n">
        <f aca="false">1-BINOMDIST(INT($A9/2),$A9,C$3,TRUE())+IF(MOD($A9,2)=0,BINOMDIST($A9/2,$A9,C$3,FALSE())/2,0)</f>
        <v>0.73343232</v>
      </c>
      <c r="D9" s="21" t="n">
        <f aca="false">1-BINOMDIST(INT($A9/2),$A9,D$3,TRUE())+IF(MOD($A9,2)=0,BINOMDIST($A9/2,$A9,D$3,FALSE())/2,0)</f>
        <v>0.378579054550781</v>
      </c>
    </row>
    <row r="10" customFormat="false" ht="15" hidden="false" customHeight="true" outlineLevel="0" collapsed="false">
      <c r="A10" s="20" t="n">
        <v>15</v>
      </c>
      <c r="B10" s="21" t="n">
        <f aca="false">1-BINOMDIST(INT($A10/2),$A10,B$3,TRUE())+IF(MOD($A10,2)=0,BINOMDIST($A10/2,$A10,B$3,FALSE())/2,0)</f>
        <v>0.949987459946224</v>
      </c>
      <c r="C10" s="21" t="n">
        <f aca="false">1-BINOMDIST(INT($A10/2),$A10,C$3,TRUE())+IF(MOD($A10,2)=0,BINOMDIST($A10/2,$A10,C$3,FALSE())/2,0)</f>
        <v>0.786896817389568</v>
      </c>
      <c r="D10" s="21" t="n">
        <f aca="false">1-BINOMDIST(INT($A10/2),$A10,D$3,TRUE())+IF(MOD($A10,2)=0,BINOMDIST($A10/2,$A10,D$3,FALSE())/2,0)</f>
        <v>0.346496074852906</v>
      </c>
    </row>
    <row r="11" customFormat="false" ht="15" hidden="false" customHeight="true" outlineLevel="0" collapsed="false">
      <c r="A11" s="20" t="n">
        <v>25</v>
      </c>
      <c r="B11" s="21" t="n">
        <f aca="false">1-BINOMDIST(INT($A11/2),$A11,B$3,TRUE())+IF(MOD($A11,2)=0,BINOMDIST($A11/2,$A11,B$3,FALSE())/2,0)</f>
        <v>0.982530259473942</v>
      </c>
      <c r="C11" s="21" t="n">
        <f aca="false">1-BINOMDIST(INT($A11/2),$A11,C$3,TRUE())+IF(MOD($A11,2)=0,BINOMDIST($A11/2,$A11,C$3,FALSE())/2,0)</f>
        <v>0.846232231024237</v>
      </c>
      <c r="D11" s="21" t="n">
        <f aca="false">1-BINOMDIST(INT($A11/2),$A11,D$3,TRUE())+IF(MOD($A11,2)=0,BINOMDIST($A11/2,$A11,D$3,FALSE())/2,0)</f>
        <v>0.306323965924481</v>
      </c>
    </row>
    <row r="12" customFormat="false" ht="15" hidden="false" customHeight="true" outlineLevel="0" collapsed="false">
      <c r="A12" s="20" t="n">
        <v>41</v>
      </c>
      <c r="B12" s="21" t="n">
        <f aca="false">1-BINOMDIST(INT($A12/2),$A12,B$3,TRUE())+IF(MOD($A12,2)=0,BINOMDIST($A12/2,$A12,B$3,FALSE())/2,0)</f>
        <v>0.996430096760276</v>
      </c>
      <c r="C12" s="21" t="n">
        <f aca="false">1-BINOMDIST(INT($A12/2),$A12,C$3,TRUE())+IF(MOD($A12,2)=0,BINOMDIST($A12/2,$A12,C$3,FALSE())/2,0)</f>
        <v>0.903482783617091</v>
      </c>
      <c r="D12" s="21" t="n">
        <f aca="false">1-BINOMDIST(INT($A12/2),$A12,D$3,TRUE())+IF(MOD($A12,2)=0,BINOMDIST($A12/2,$A12,D$3,FALSE())/2,0)</f>
        <v>0.259187954498721</v>
      </c>
    </row>
    <row r="13" customFormat="false" ht="15" hidden="false" customHeight="true" outlineLevel="0" collapsed="false">
      <c r="A13" s="20" t="n">
        <v>63</v>
      </c>
      <c r="B13" s="21" t="n">
        <f aca="false">1-BINOMDIST(INT($A13/2),$A13,B$3,TRUE())+IF(MOD($A13,2)=0,BINOMDIST($A13/2,$A13,B$3,FALSE())/2,0)</f>
        <v>0.999562042387515</v>
      </c>
      <c r="C13" s="21" t="n">
        <f aca="false">1-BINOMDIST(INT($A13/2),$A13,C$3,TRUE())+IF(MOD($A13,2)=0,BINOMDIST($A13/2,$A13,C$3,FALSE())/2,0)</f>
        <v>0.946309424624047</v>
      </c>
      <c r="D13" s="21" t="n">
        <f aca="false">1-BINOMDIST(INT($A13/2),$A13,D$3,TRUE())+IF(MOD($A13,2)=0,BINOMDIST($A13/2,$A13,D$3,FALSE())/2,0)</f>
        <v>0.212177991029329</v>
      </c>
    </row>
    <row r="15" customFormat="false" ht="15" hidden="false" customHeight="true" outlineLevel="0" collapsed="false">
      <c r="A15" s="13" t="s">
        <v>46</v>
      </c>
    </row>
    <row r="16" customFormat="false" ht="15" hidden="false" customHeight="true" outlineLevel="0" collapsed="false">
      <c r="A16" s="1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2026-10-02T14:01:17Z</dcterms:created>
  <dc:creator>Leonhard Korowajczuk</dc:creator>
  <dc:description/>
  <dc:language>en-US</dc:language>
  <cp:lastModifiedBy>Leonhard Korowajczuk</cp:lastModifiedBy>
  <dcterms:modified xsi:type="dcterms:W3CDTF">2026-10-20T17:46:35Z</dcterms:modified>
  <cp:revision>0</cp:revision>
  <dc:subject/>
  <dc:title>Post-Training, Alignment and Reasoning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