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Router" sheetId="2" state="visible" r:id="rId4"/>
    <sheet name="Load Balance" sheetId="3" state="visible" r:id="rId5"/>
    <sheet name="MoE Parameters" sheetId="4" state="visible" r:id="rId6"/>
    <sheet name="Box Speed" sheetId="5" state="visible" r:id="rId7"/>
    <sheet name="Batch Coverage" sheetId="6" state="visible" r:id="rId8"/>
    <sheet name="Expert Traffic" sheetId="7" state="visible" r:id="rId9"/>
  </sheets>
  <calcPr iterateCount="100" refMode="A1" iterate="false" iterateDelta="0.0001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<sst xmlns="http://schemas.openxmlformats.org/spreadsheetml/2006/main" count="184" uniqueCount="174">
  <si>
    <t xml:space="preserve">Chapter 7 — Mixture of Experts</t>
  </si>
  <si>
    <t xml:space="preserve">Companion workbook of The Birth and Adolescence of Artificial Intelligence, Volume 1, by Leonhard Korowajczuk. Blue cells on a light yellow background are inputs: change them and every result recalculates.</t>
  </si>
  <si>
    <t xml:space="preserve">Sheet</t>
  </si>
  <si>
    <t xml:space="preserve">What it computes</t>
  </si>
  <si>
    <t xml:space="preserve">Book reference</t>
  </si>
  <si>
    <t xml:space="preserve">Router</t>
  </si>
  <si>
    <t xml:space="preserve">Top-k selection and gate weights with softmax or sigmoid scoring, and the compute per token.</t>
  </si>
  <si>
    <t xml:space="preserve">Worked Example 7.1</t>
  </si>
  <si>
    <t xml:space="preserve">Load Balance</t>
  </si>
  <si>
    <t xml:space="preserve">Auxiliary loss, capacity and dropped tokens.</t>
  </si>
  <si>
    <t xml:space="preserve">Worked Example 7.2</t>
  </si>
  <si>
    <t xml:space="preserve">MoE Parameters</t>
  </si>
  <si>
    <t xml:space="preserve">Total and active parameters from a configuration.</t>
  </si>
  <si>
    <t xml:space="preserve">Worked Example 7.3; defaults DeepSeek-V3</t>
  </si>
  <si>
    <t xml:space="preserve">Box Speed</t>
  </si>
  <si>
    <t xml:space="preserve">Dense versus MoE memory and bandwidth-limited speed.</t>
  </si>
  <si>
    <t xml:space="preserve">Worked Example 7.4</t>
  </si>
  <si>
    <t xml:space="preserve">Batch Coverage</t>
  </si>
  <si>
    <t xml:space="preserve">Share of experts used per decode step, bytes, FLOPs and step time, against a dense model.</t>
  </si>
  <si>
    <t xml:space="preserve">Worked Example 7.5, Figure 7.5</t>
  </si>
  <si>
    <t xml:space="preserve">Expert Traffic</t>
  </si>
  <si>
    <t xml:space="preserve">All-to-all bytes per token and per second, and the share of an adapter across two nodes.</t>
  </si>
  <si>
    <t xml:space="preserve">Worked Example 7.6</t>
  </si>
  <si>
    <t xml:space="preserve">Notes</t>
  </si>
  <si>
    <t xml:space="preserve">Units are decimal (1 GB = 10^9 bytes). Uniform routing is assumed where noted.</t>
  </si>
  <si>
    <t xml:space="preserve">Top-k Routing for One Token (Worked Example 7.1)</t>
  </si>
  <si>
    <t xml:space="preserve">k (experts per token)</t>
  </si>
  <si>
    <t xml:space="preserve">Scoring (1 = softmax over selected, 2 = sigmoid then normalize)</t>
  </si>
  <si>
    <t xml:space="preserve">Expert</t>
  </si>
  <si>
    <t xml:space="preserve">Router score</t>
  </si>
  <si>
    <t xml:space="preserve">Rank</t>
  </si>
  <si>
    <t xml:space="preserve">Selected?</t>
  </si>
  <si>
    <t xml:space="preserve">exp(score) if selected</t>
  </si>
  <si>
    <t xml:space="preserve">sigmoid if selected</t>
  </si>
  <si>
    <t xml:space="preserve">Gate weight g</t>
  </si>
  <si>
    <t xml:space="preserve">Expert output dim 1</t>
  </si>
  <si>
    <t xml:space="preserve">Expert output dim 2</t>
  </si>
  <si>
    <t xml:space="preserve">g × out 1</t>
  </si>
  <si>
    <t xml:space="preserve">g × out 2</t>
  </si>
  <si>
    <t xml:space="preserve">Layer output y</t>
  </si>
  <si>
    <t xml:space="preserve">Sum of exp(score) over the selected experts</t>
  </si>
  <si>
    <t xml:space="preserve">Experts selected (check: must equal k)</t>
  </si>
  <si>
    <t xml:space="preserve">Cost per token (defaults: Mixtral 8x7B)</t>
  </si>
  <si>
    <t xml:space="preserve">Value</t>
  </si>
  <si>
    <t xml:space="preserve">Total parameters (billions)</t>
  </si>
  <si>
    <t xml:space="preserve">Active parameters (billions)</t>
  </si>
  <si>
    <t xml:space="preserve">GFLOPs per token with routing = 2 × active</t>
  </si>
  <si>
    <t xml:space="preserve">GFLOPs per token, dense model of the same size = 2 × total</t>
  </si>
  <si>
    <t xml:space="preserve">Defaults reproduce Worked Example 7.1. y = (0.679, 0.062) with unrounded weights; rounded weights give 0.599 × −0.5 + 0.401 × 0.9 = 0.061.</t>
  </si>
  <si>
    <t xml:space="preserve">Scoring 2 applies a sigmoid per expert and normalizes among the selected experts, as in DeepSeek-V3 and Kimi K2.</t>
  </si>
  <si>
    <t xml:space="preserve">Rank is unique: tied scores are ranked by expert number (lower first), so exactly k experts are selected; row 18 checks it.</t>
  </si>
  <si>
    <t xml:space="preserve">Auxiliary Load-Balancing Loss and Capacity (Worked Example 7.2)</t>
  </si>
  <si>
    <t xml:space="preserve">Coefficient α</t>
  </si>
  <si>
    <t xml:space="preserve">Capacity factor</t>
  </si>
  <si>
    <t xml:space="preserve">Tokens routed</t>
  </si>
  <si>
    <t xml:space="preserve">Fraction f</t>
  </si>
  <si>
    <t xml:space="preserve">Mean router prob. P</t>
  </si>
  <si>
    <t xml:space="preserve">f × P</t>
  </si>
  <si>
    <t xml:space="preserve">Capacity (tokens)</t>
  </si>
  <si>
    <t xml:space="preserve">Dropped</t>
  </si>
  <si>
    <t xml:space="preserve">Σ f·P</t>
  </si>
  <si>
    <t xml:space="preserve">E × Σ f·P (1.00 when balanced)</t>
  </si>
  <si>
    <t xml:space="preserve">Auxiliary loss α · E · Σ f·P</t>
  </si>
  <si>
    <t xml:space="preserve">Auxiliary loss under uniform routing (α × 1.00)</t>
  </si>
  <si>
    <t xml:space="preserve">Capacity before rounding down (tokens)</t>
  </si>
  <si>
    <t xml:space="preserve">Tokens dropped in total</t>
  </si>
  <si>
    <t xml:space="preserve">Check: router probabilities in column D should sum to 1 (they are averages of per-token softmax outputs).</t>
  </si>
  <si>
    <t xml:space="preserve">Column B counts token–expert assignments (k per token): capacity = k × tokens ÷ experts × factor, rounded down.</t>
  </si>
  <si>
    <t xml:space="preserve">Total and Active Parameters of an MoE Decoder (Worked Example 7.3; defaults DeepSeek-V3)</t>
  </si>
  <si>
    <t xml:space="preserve">Model dimension d</t>
  </si>
  <si>
    <t xml:space="preserve">Layers L</t>
  </si>
  <si>
    <t xml:space="preserve">Dense layers at the start</t>
  </si>
  <si>
    <t xml:space="preserve">Dense FFN size</t>
  </si>
  <si>
    <t xml:space="preserve">Routed experts E</t>
  </si>
  <si>
    <t xml:space="preserve">Experts per token k</t>
  </si>
  <si>
    <t xml:space="preserve">Shared experts</t>
  </si>
  <si>
    <t xml:space="preserve">Expert FFN size</t>
  </si>
  <si>
    <t xml:space="preserve">Vocabulary</t>
  </si>
  <si>
    <t xml:space="preserve">Tied embeddings (1/0)</t>
  </si>
  <si>
    <t xml:space="preserve">Attention parameters per layer (MLA: see note; GQA: Ch06 workbook)</t>
  </si>
  <si>
    <t xml:space="preserve">Multi-token-prediction module in the checkpoint (billions)</t>
  </si>
  <si>
    <t xml:space="preserve">Quantity</t>
  </si>
  <si>
    <t xml:space="preserve">One expert = 3 × d × d_ff(expert)</t>
  </si>
  <si>
    <t xml:space="preserve">Router per MoE layer = E × d</t>
  </si>
  <si>
    <t xml:space="preserve">Dense layer = attention + 3·d·d_ff + norms</t>
  </si>
  <si>
    <t xml:space="preserve">MoE layer, total</t>
  </si>
  <si>
    <t xml:space="preserve">MoE layer, active</t>
  </si>
  <si>
    <t xml:space="preserve">Embeddings</t>
  </si>
  <si>
    <t xml:space="preserve">Total parameters</t>
  </si>
  <si>
    <t xml:space="preserve">Active parameters (incl. embeddings)</t>
  </si>
  <si>
    <t xml:space="preserve">Total (billions)</t>
  </si>
  <si>
    <t xml:space="preserve">Active (billions)</t>
  </si>
  <si>
    <t xml:space="preserve">Active share</t>
  </si>
  <si>
    <t xml:space="preserve">MoE layer, experts and router (billions)</t>
  </si>
  <si>
    <t xml:space="preserve">All dense layers (billions)</t>
  </si>
  <si>
    <t xml:space="preserve">All MoE layers, total (billions)</t>
  </si>
  <si>
    <t xml:space="preserve">All MoE layers, active (billions)</t>
  </si>
  <si>
    <t xml:space="preserve">Expert weights in all MoE layers (billions)</t>
  </si>
  <si>
    <t xml:space="preserve">Expert share of total parameters</t>
  </si>
  <si>
    <t xml:space="preserve">Expert weights used per token (billions)</t>
  </si>
  <si>
    <t xml:space="preserve">Share of expert weights used per token</t>
  </si>
  <si>
    <t xml:space="preserve">Checkpoint total with the multi-token-prediction module (billions)</t>
  </si>
  <si>
    <t xml:space="preserve">DeepSeek-V3 MLA attention per layer: 7168×1536+1536 + 1536×128×192 + 7168×576+512 + 512×128×256 + 128×128×7168 = 187,107,328.</t>
  </si>
  <si>
    <t xml:space="preserve">Defaults reproduce Worked Example 7.3: 671.0 B total, 37.6 B active, 98% in experts, about 3.5% of them used per token, 685 B with the MTP module.</t>
  </si>
  <si>
    <t xml:space="preserve">Dense versus MoE on Bandwidth-Limited Hardware (Worked Example 7.4)</t>
  </si>
  <si>
    <t xml:space="preserve">Bits per weight</t>
  </si>
  <si>
    <t xml:space="preserve">Bandwidth A (GB/s): minimum Box</t>
  </si>
  <si>
    <t xml:space="preserve">Bandwidth B (GB/s): unified-memory Box, 128 GB</t>
  </si>
  <si>
    <t xml:space="preserve">Model</t>
  </si>
  <si>
    <t xml:space="preserve">Total params (B)</t>
  </si>
  <si>
    <t xml:space="preserve">Active params (B)</t>
  </si>
  <si>
    <t xml:space="preserve">Input embedding (B)</t>
  </si>
  <si>
    <t xml:space="preserve">Memory (GB)</t>
  </si>
  <si>
    <t xml:space="preserve">Bytes read per token (GB)</t>
  </si>
  <si>
    <t xml:space="preserve">Ceiling at A (tok/s)</t>
  </si>
  <si>
    <t xml:space="preserve">Ceiling at B (tok/s)</t>
  </si>
  <si>
    <t xml:space="preserve">Speed ÷ dense (row 8)</t>
  </si>
  <si>
    <t xml:space="preserve">Qwen3-32B (dense)</t>
  </si>
  <si>
    <t xml:space="preserve">Qwen3-30B-A3B (MoE)</t>
  </si>
  <si>
    <t xml:space="preserve">gpt-oss-120b (MoE)</t>
  </si>
  <si>
    <t xml:space="preserve">gpt-oss-120b embedding size approximate (vocabulary 201,088 × 2,880); in practice its experts are MXFP4 and the rest BF16.</t>
  </si>
  <si>
    <t xml:space="preserve">gpt-oss-120b is an extra row, not part of Worked Example 7.4; at 4.5 bits it is too large for a 24 GB GPU (Section 7.5).</t>
  </si>
  <si>
    <t xml:space="preserve">Experts Used per Decode Step (Worked Example 7.5, Figure 7.5)</t>
  </si>
  <si>
    <t xml:space="preserve">Experts E</t>
  </si>
  <si>
    <t xml:space="preserve">Total parameters (B)</t>
  </si>
  <si>
    <t xml:space="preserve">Active parameters (B)</t>
  </si>
  <si>
    <t xml:space="preserve">GPU bandwidth (GB/s)</t>
  </si>
  <si>
    <t xml:space="preserve">Input embedding (B; only looked up, not read)</t>
  </si>
  <si>
    <t xml:space="preserve">GPU compute A (TFLOP/s)</t>
  </si>
  <si>
    <t xml:space="preserve">GPU compute B (TFLOP/s)</t>
  </si>
  <si>
    <t xml:space="preserve">Dense comparison model: parameters (B)</t>
  </si>
  <si>
    <t xml:space="preserve">Dense comparison model: input embedding (B)</t>
  </si>
  <si>
    <t xml:space="preserve">Batch B</t>
  </si>
  <si>
    <t xml:space="preserve">Share of experts used</t>
  </si>
  <si>
    <t xml:space="preserve">Weights read per step (GB, approx.)</t>
  </si>
  <si>
    <t xml:space="preserve">Step-time floor (ms)</t>
  </si>
  <si>
    <t xml:space="preserve">Tokens/s ceiling</t>
  </si>
  <si>
    <t xml:space="preserve">FLOPs per step (TFLOPs)</t>
  </si>
  <si>
    <t xml:space="preserve">Tokens per expert per step (B·k/E)</t>
  </si>
  <si>
    <t xml:space="preserve">Compute time at GPU compute A (ms)</t>
  </si>
  <si>
    <t xml:space="preserve">Comparison at one batch size</t>
  </si>
  <si>
    <t xml:space="preserve">MoE</t>
  </si>
  <si>
    <t xml:space="preserve">Dense</t>
  </si>
  <si>
    <t xml:space="preserve">Whole model at this precision (GB)</t>
  </si>
  <si>
    <t xml:space="preserve">Weights read per step (GB)</t>
  </si>
  <si>
    <t xml:space="preserve">Weight-read floor (ms)</t>
  </si>
  <si>
    <t xml:space="preserve">Compute time at GPU compute B (ms)</t>
  </si>
  <si>
    <t xml:space="preserve">Step time at compute A (ms) = larger of read and compute</t>
  </si>
  <si>
    <t xml:space="preserve">Step time at compute B (ms)</t>
  </si>
  <si>
    <t xml:space="preserve">Dense ÷ MoE step time at compute A</t>
  </si>
  <si>
    <t xml:space="preserve">Dense ÷ MoE step time at compute B</t>
  </si>
  <si>
    <t xml:space="preserve">Dense ÷ MoE FLOPs per step</t>
  </si>
  <si>
    <t xml:space="preserve">Batch multiple for MoE to become compute-bound, E/k</t>
  </si>
  <si>
    <t xml:space="preserve">Expert size e = (total − active) ÷ (E − k); weights read = (active − k·e − input embedding) + E·e × share used; the input embedding is only looked up.</t>
  </si>
  <si>
    <t xml:space="preserve">Uniform, independent routing assumed; real routing is uneven, so slightly fewer experts are touched. Defaults: Qwen3-30B-A3B against Qwen3-32B.</t>
  </si>
  <si>
    <t xml:space="preserve">Worked Example 7.5 rounds the read at B = 64 up to the whole 17.2 GB (about 17 ms, 3,700 tokens/s, and a dense model 1.05–1.5 times slower); counting only the experts touched, as this sheet does, gives 16.7 GB and about 3,800 tokens/s.</t>
  </si>
  <si>
    <t xml:space="preserve">All-to-All Traffic under Expert Parallelism (Worked Example 7.6)</t>
  </si>
  <si>
    <t xml:space="preserve">Experts per token k (routed)</t>
  </si>
  <si>
    <t xml:space="preserve">Bytes per number, dispatch</t>
  </si>
  <si>
    <t xml:space="preserve">Bytes per number, combine</t>
  </si>
  <si>
    <t xml:space="preserve">MoE layers</t>
  </si>
  <si>
    <t xml:space="preserve">Aggregate throughput (tokens/s)</t>
  </si>
  <si>
    <t xml:space="preserve">Network adapter (Gb/s)</t>
  </si>
  <si>
    <t xml:space="preserve">Share of expert traffic crossing between nodes (two nodes ≈ 0.5)</t>
  </si>
  <si>
    <t xml:space="preserve">Hidden vector per token in the dispatch format (bytes)</t>
  </si>
  <si>
    <t xml:space="preserve">Dispatch per token per layer (KB)</t>
  </si>
  <si>
    <t xml:space="preserve">Bytes per token per layer (dispatch + combine)</t>
  </si>
  <si>
    <t xml:space="preserve">Bytes per token, all layers (MB)</t>
  </si>
  <si>
    <t xml:space="preserve">Traffic at the aggregate throughput (GB/s)</t>
  </si>
  <si>
    <t xml:space="preserve">Cross-node traffic in each direction (GB/s)</t>
  </si>
  <si>
    <t xml:space="preserve">Adapter line rate (GB/s)</t>
  </si>
  <si>
    <t xml:space="preserve">Share of one adapter in each direction</t>
  </si>
  <si>
    <t xml:space="preserve">Upper bound: experts on the token's own GPU need no transfer. Set dispatch bytes to 1 for FP8 dispatch, as in DeepSeek-V3.</t>
  </si>
  <si>
    <t xml:space="preserve">Averages only: traffic comes in bursts at each layer, so expert parallelism across nodes needs several adapters per node.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</si>
</sst>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0"/>
    <numFmt numFmtId="166" formatCode="0.00"/>
    <numFmt numFmtId="167" formatCode="0.000"/>
    <numFmt numFmtId="168" formatCode="0.0"/>
    <numFmt numFmtId="169" formatCode="0.0000"/>
    <numFmt numFmtId="170" formatCode="#,##0"/>
    <numFmt numFmtId="171" formatCode="#,##0.00"/>
    <numFmt numFmtId="172" formatCode="0.0%"/>
    <numFmt numFmtId="173" formatCode="#,##0.0"/>
    <numFmt numFmtId="174" formatCode="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8A6410"/>
      <name val="Arial"/>
      <family val="0"/>
      <charset val="1"/>
    </font>
    <font>
      <sz val="9"/>
      <color rgb="FF595959"/>
      <name val="Arial"/>
      <family val="0"/>
      <charset val="1"/>
    </font>
    <font>
      <sz val="11"/>
      <name val="Cambria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3"/>
      <color rgb="FF8A64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7EFDD"/>
        <bgColor rgb="FFFFF9E6"/>
      </patternFill>
    </fill>
    <fill>
      <patternFill patternType="solid">
        <fgColor rgb="FFFFF9E6"/>
        <bgColor rgb="FFF7EFD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1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1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1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1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1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9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6410"/>
      <rgbColor rgb="FF800080"/>
      <rgbColor rgb="FF008080"/>
      <rgbColor rgb="FFBFBFBF"/>
      <rgbColor rgb="FF808080"/>
      <rgbColor rgb="FF9999FF"/>
      <rgbColor rgb="FF993366"/>
      <rgbColor rgb="FFF7EFD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0" width="72"/>
    <col collapsed="false" customWidth="true" hidden="false" outlineLevel="0" max="3" min="3" style="0" width="40"/>
  </cols>
  <sheetData>
    <row r="1" customFormat="false" ht="15.75" hidden="false" customHeight="true" outlineLevel="0" collapsed="false">
      <c r="A1" s="2" t="s">
        <v>0</v>
      </c>
    </row>
    <row r="2" customFormat="false" ht="30" hidden="false" customHeight="true" outlineLevel="0" collapsed="false">
      <c r="A2" s="3" t="s">
        <v>1</v>
      </c>
      <c r="B2" s="3"/>
      <c r="C2" s="3"/>
    </row>
    <row r="3" customFormat="false" ht="15" hidden="false" customHeight="true" outlineLevel="0" collapsed="false">
      <c r="A3" s="4"/>
    </row>
    <row r="4" customFormat="false" ht="15" hidden="false" customHeight="true" outlineLevel="0" collapsed="false">
      <c r="A4" s="5" t="s">
        <v>2</v>
      </c>
      <c r="B4" s="5" t="s">
        <v>3</v>
      </c>
      <c r="C4" s="5" t="s">
        <v>4</v>
      </c>
    </row>
    <row r="5" customFormat="false" ht="30" hidden="false" customHeight="true" outlineLevel="0" collapsed="false">
      <c r="A5" s="6" t="s">
        <v>5</v>
      </c>
      <c r="B5" s="7" t="s">
        <v>6</v>
      </c>
      <c r="C5" s="7" t="s">
        <v>7</v>
      </c>
    </row>
    <row r="6" customFormat="false" ht="15" hidden="false" customHeight="true" outlineLevel="0" collapsed="false">
      <c r="A6" s="6" t="s">
        <v>8</v>
      </c>
      <c r="B6" s="7" t="s">
        <v>9</v>
      </c>
      <c r="C6" s="7" t="s">
        <v>10</v>
      </c>
    </row>
    <row r="7" customFormat="false" ht="15" hidden="false" customHeight="true" outlineLevel="0" collapsed="false">
      <c r="A7" s="6" t="s">
        <v>11</v>
      </c>
      <c r="B7" s="7" t="s">
        <v>12</v>
      </c>
      <c r="C7" s="7" t="s">
        <v>13</v>
      </c>
    </row>
    <row r="8" customFormat="false" ht="15" hidden="false" customHeight="true" outlineLevel="0" collapsed="false">
      <c r="A8" s="6" t="s">
        <v>14</v>
      </c>
      <c r="B8" s="7" t="s">
        <v>15</v>
      </c>
      <c r="C8" s="7" t="s">
        <v>16</v>
      </c>
    </row>
    <row r="9" customFormat="false" ht="30" hidden="false" customHeight="true" outlineLevel="0" collapsed="false">
      <c r="A9" s="6" t="s">
        <v>17</v>
      </c>
      <c r="B9" s="7" t="s">
        <v>18</v>
      </c>
      <c r="C9" s="7" t="s">
        <v>19</v>
      </c>
    </row>
    <row r="10" customFormat="false" ht="30" hidden="false" customHeight="true" outlineLevel="0" collapsed="false">
      <c r="A10" s="6" t="s">
        <v>20</v>
      </c>
      <c r="B10" s="7" t="s">
        <v>21</v>
      </c>
      <c r="C10" s="7" t="s">
        <v>22</v>
      </c>
    </row>
    <row r="11" customFormat="false" ht="15" hidden="false" customHeight="true" outlineLevel="0" collapsed="false">
      <c r="A11" s="4"/>
    </row>
    <row r="12" customFormat="false" ht="15" hidden="false" customHeight="true" outlineLevel="0" collapsed="false">
      <c r="A12" s="8" t="s">
        <v>23</v>
      </c>
    </row>
    <row r="13" customFormat="false" ht="15" hidden="false" customHeight="true" outlineLevel="0" collapsed="false">
      <c r="A13" s="9" t="s">
        <v>24</v>
      </c>
      <c r="B13" s="9"/>
      <c r="C13" s="9"/>
    </row>
    <row r="14" customFormat="false" ht="15" hidden="false" customHeight="true" outlineLevel="0" collapsed="false">
      <c r="A14" s="4"/>
    </row>
  </sheetData>
  <mergeCells count="2">
    <mergeCell ref="A2:C2"/>
    <mergeCell ref="A13:C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12"/>
    <col collapsed="false" customWidth="true" hidden="false" outlineLevel="0" max="3" min="3" style="1" width="7"/>
    <col collapsed="false" customWidth="true" hidden="false" outlineLevel="0" max="4" min="4" style="1" width="10"/>
    <col collapsed="false" customWidth="true" hidden="false" outlineLevel="0" max="5" min="5" style="1" width="16"/>
    <col collapsed="false" customWidth="true" hidden="false" outlineLevel="0" max="6" min="6" style="1" width="15"/>
    <col collapsed="false" customWidth="true" hidden="false" outlineLevel="0" max="7" min="7" style="1" width="13"/>
    <col collapsed="false" customWidth="true" hidden="false" outlineLevel="0" max="9" min="8" style="1" width="14"/>
    <col collapsed="false" customWidth="true" hidden="false" outlineLevel="0" max="11" min="10" style="1" width="11"/>
  </cols>
  <sheetData>
    <row r="1" customFormat="false" ht="15.75" hidden="false" customHeight="true" outlineLevel="0" collapsed="false">
      <c r="A1" s="10" t="s">
        <v>25</v>
      </c>
    </row>
    <row r="3" customFormat="false" ht="15" hidden="false" customHeight="true" outlineLevel="0" collapsed="false">
      <c r="A3" s="11" t="s">
        <v>26</v>
      </c>
      <c r="B3" s="12" t="n">
        <v>2</v>
      </c>
    </row>
    <row r="4" customFormat="false" ht="15" hidden="false" customHeight="true" outlineLevel="0" collapsed="false">
      <c r="A4" s="11" t="s">
        <v>27</v>
      </c>
      <c r="B4" s="12" t="n">
        <v>1</v>
      </c>
    </row>
    <row r="6" customFormat="false" ht="30" hidden="false" customHeight="true" outlineLevel="0" collapsed="false">
      <c r="A6" s="13" t="s">
        <v>28</v>
      </c>
      <c r="B6" s="13" t="s">
        <v>29</v>
      </c>
      <c r="C6" s="13" t="s">
        <v>30</v>
      </c>
      <c r="D6" s="13" t="s">
        <v>31</v>
      </c>
      <c r="E6" s="13" t="s">
        <v>32</v>
      </c>
      <c r="F6" s="13" t="s">
        <v>33</v>
      </c>
      <c r="G6" s="13" t="s">
        <v>34</v>
      </c>
      <c r="H6" s="13" t="s">
        <v>35</v>
      </c>
      <c r="I6" s="13" t="s">
        <v>36</v>
      </c>
      <c r="J6" s="13" t="s">
        <v>37</v>
      </c>
      <c r="K6" s="13" t="s">
        <v>38</v>
      </c>
    </row>
    <row r="7" customFormat="false" ht="15" hidden="false" customHeight="true" outlineLevel="0" collapsed="false">
      <c r="A7" s="14" t="n">
        <v>1</v>
      </c>
      <c r="B7" s="15" t="n">
        <v>1.2</v>
      </c>
      <c r="C7" s="14" t="n">
        <f aca="false">RANK(B7,$B$7:$B$14)+COUNTIF($B$7:B7,B7)-1</f>
        <v>3</v>
      </c>
      <c r="D7" s="11" t="str">
        <f aca="false">IF(C7&lt;=$B$3,"yes","")</f>
        <v/>
      </c>
      <c r="E7" s="16" t="n">
        <f aca="false">IF(D7="yes",EXP(B7),0)</f>
        <v>0</v>
      </c>
      <c r="F7" s="16" t="n">
        <f aca="false">IF(D7="yes",1/(1+EXP(-B7)),0)</f>
        <v>0</v>
      </c>
      <c r="G7" s="17" t="n">
        <f aca="false">IF($B$4=1,E7/SUM($E$7:$E$14),F7/SUM($F$7:$F$14))</f>
        <v>0</v>
      </c>
      <c r="H7" s="15" t="n">
        <v>0.5</v>
      </c>
      <c r="I7" s="15" t="n">
        <v>0.5</v>
      </c>
      <c r="J7" s="16" t="n">
        <f aca="false">G7*H7</f>
        <v>0</v>
      </c>
      <c r="K7" s="16" t="n">
        <f aca="false">G7*I7</f>
        <v>0</v>
      </c>
    </row>
    <row r="8" customFormat="false" ht="15" hidden="false" customHeight="true" outlineLevel="0" collapsed="false">
      <c r="A8" s="14" t="n">
        <v>2</v>
      </c>
      <c r="B8" s="15" t="n">
        <v>-0.3</v>
      </c>
      <c r="C8" s="14" t="n">
        <f aca="false">RANK(B8,$B$7:$B$14)+COUNTIF($B$7:B8,B8)-1</f>
        <v>7</v>
      </c>
      <c r="D8" s="11" t="str">
        <f aca="false">IF(C8&lt;=$B$3,"yes","")</f>
        <v/>
      </c>
      <c r="E8" s="16" t="n">
        <f aca="false">IF(D8="yes",EXP(B8),0)</f>
        <v>0</v>
      </c>
      <c r="F8" s="16" t="n">
        <f aca="false">IF(D8="yes",1/(1+EXP(-B8)),0)</f>
        <v>0</v>
      </c>
      <c r="G8" s="17" t="n">
        <f aca="false">IF($B$4=1,E8/SUM($E$7:$E$14),F8/SUM($F$7:$F$14))</f>
        <v>0</v>
      </c>
      <c r="H8" s="15" t="n">
        <v>-0.2</v>
      </c>
      <c r="I8" s="15" t="n">
        <v>0.3</v>
      </c>
      <c r="J8" s="16" t="n">
        <f aca="false">G8*H8</f>
        <v>-0</v>
      </c>
      <c r="K8" s="16" t="n">
        <f aca="false">G8*I8</f>
        <v>0</v>
      </c>
    </row>
    <row r="9" customFormat="false" ht="15" hidden="false" customHeight="true" outlineLevel="0" collapsed="false">
      <c r="A9" s="14" t="n">
        <v>3</v>
      </c>
      <c r="B9" s="15" t="n">
        <v>2.5</v>
      </c>
      <c r="C9" s="14" t="n">
        <f aca="false">RANK(B9,$B$7:$B$14)+COUNTIF($B$7:B9,B9)-1</f>
        <v>1</v>
      </c>
      <c r="D9" s="11" t="str">
        <f aca="false">IF(C9&lt;=$B$3,"yes","")</f>
        <v>yes</v>
      </c>
      <c r="E9" s="16" t="n">
        <f aca="false">IF(D9="yes",EXP(B9),0)</f>
        <v>12.1824939607035</v>
      </c>
      <c r="F9" s="16" t="n">
        <f aca="false">IF(D9="yes",1/(1+EXP(-B9)),0)</f>
        <v>0.924141819978757</v>
      </c>
      <c r="G9" s="17" t="n">
        <f aca="false">IF($B$4=1,E9/SUM($E$7:$E$14),F9/SUM($F$7:$F$14))</f>
        <v>0.598687660112452</v>
      </c>
      <c r="H9" s="15" t="n">
        <v>1</v>
      </c>
      <c r="I9" s="15" t="n">
        <v>-0.5</v>
      </c>
      <c r="J9" s="16" t="n">
        <f aca="false">G9*H9</f>
        <v>0.598687660112452</v>
      </c>
      <c r="K9" s="16" t="n">
        <f aca="false">G9*I9</f>
        <v>-0.299343830056226</v>
      </c>
    </row>
    <row r="10" customFormat="false" ht="15" hidden="false" customHeight="true" outlineLevel="0" collapsed="false">
      <c r="A10" s="14" t="n">
        <v>4</v>
      </c>
      <c r="B10" s="15" t="n">
        <v>0.1</v>
      </c>
      <c r="C10" s="14" t="n">
        <f aca="false">RANK(B10,$B$7:$B$14)+COUNTIF($B$7:B10,B10)-1</f>
        <v>6</v>
      </c>
      <c r="D10" s="11" t="str">
        <f aca="false">IF(C10&lt;=$B$3,"yes","")</f>
        <v/>
      </c>
      <c r="E10" s="16" t="n">
        <f aca="false">IF(D10="yes",EXP(B10),0)</f>
        <v>0</v>
      </c>
      <c r="F10" s="16" t="n">
        <f aca="false">IF(D10="yes",1/(1+EXP(-B10)),0)</f>
        <v>0</v>
      </c>
      <c r="G10" s="17" t="n">
        <f aca="false">IF($B$4=1,E10/SUM($E$7:$E$14),F10/SUM($F$7:$F$14))</f>
        <v>0</v>
      </c>
      <c r="H10" s="15" t="n">
        <v>0.3</v>
      </c>
      <c r="I10" s="15" t="n">
        <v>0.3</v>
      </c>
      <c r="J10" s="16" t="n">
        <f aca="false">G10*H10</f>
        <v>0</v>
      </c>
      <c r="K10" s="16" t="n">
        <f aca="false">G10*I10</f>
        <v>0</v>
      </c>
    </row>
    <row r="11" customFormat="false" ht="15" hidden="false" customHeight="true" outlineLevel="0" collapsed="false">
      <c r="A11" s="14" t="n">
        <v>5</v>
      </c>
      <c r="B11" s="15" t="n">
        <v>0.8</v>
      </c>
      <c r="C11" s="14" t="n">
        <f aca="false">RANK(B11,$B$7:$B$14)+COUNTIF($B$7:B11,B11)-1</f>
        <v>4</v>
      </c>
      <c r="D11" s="11" t="str">
        <f aca="false">IF(C11&lt;=$B$3,"yes","")</f>
        <v/>
      </c>
      <c r="E11" s="16" t="n">
        <f aca="false">IF(D11="yes",EXP(B11),0)</f>
        <v>0</v>
      </c>
      <c r="F11" s="16" t="n">
        <f aca="false">IF(D11="yes",1/(1+EXP(-B11)),0)</f>
        <v>0</v>
      </c>
      <c r="G11" s="17" t="n">
        <f aca="false">IF($B$4=1,E11/SUM($E$7:$E$14),F11/SUM($F$7:$F$14))</f>
        <v>0</v>
      </c>
      <c r="H11" s="15" t="n">
        <v>0.1</v>
      </c>
      <c r="I11" s="15" t="n">
        <v>-0.4</v>
      </c>
      <c r="J11" s="16" t="n">
        <f aca="false">G11*H11</f>
        <v>0</v>
      </c>
      <c r="K11" s="16" t="n">
        <f aca="false">G11*I11</f>
        <v>-0</v>
      </c>
    </row>
    <row r="12" customFormat="false" ht="15" hidden="false" customHeight="true" outlineLevel="0" collapsed="false">
      <c r="A12" s="14" t="n">
        <v>6</v>
      </c>
      <c r="B12" s="15" t="n">
        <v>2.1</v>
      </c>
      <c r="C12" s="14" t="n">
        <f aca="false">RANK(B12,$B$7:$B$14)+COUNTIF($B$7:B12,B12)-1</f>
        <v>2</v>
      </c>
      <c r="D12" s="11" t="str">
        <f aca="false">IF(C12&lt;=$B$3,"yes","")</f>
        <v>yes</v>
      </c>
      <c r="E12" s="16" t="n">
        <f aca="false">IF(D12="yes",EXP(B12),0)</f>
        <v>8.16616991256765</v>
      </c>
      <c r="F12" s="16" t="n">
        <f aca="false">IF(D12="yes",1/(1+EXP(-B12)),0)</f>
        <v>0.890903178804387</v>
      </c>
      <c r="G12" s="17" t="n">
        <f aca="false">IF($B$4=1,E12/SUM($E$7:$E$14),F12/SUM($F$7:$F$14))</f>
        <v>0.401312339887548</v>
      </c>
      <c r="H12" s="15" t="n">
        <v>0.2</v>
      </c>
      <c r="I12" s="15" t="n">
        <v>0.9</v>
      </c>
      <c r="J12" s="16" t="n">
        <f aca="false">G12*H12</f>
        <v>0.0802624679775096</v>
      </c>
      <c r="K12" s="16" t="n">
        <f aca="false">G12*I12</f>
        <v>0.361181105898793</v>
      </c>
    </row>
    <row r="13" customFormat="false" ht="15" hidden="false" customHeight="true" outlineLevel="0" collapsed="false">
      <c r="A13" s="14" t="n">
        <v>7</v>
      </c>
      <c r="B13" s="15" t="n">
        <v>-1</v>
      </c>
      <c r="C13" s="14" t="n">
        <f aca="false">RANK(B13,$B$7:$B$14)+COUNTIF($B$7:B13,B13)-1</f>
        <v>8</v>
      </c>
      <c r="D13" s="11" t="str">
        <f aca="false">IF(C13&lt;=$B$3,"yes","")</f>
        <v/>
      </c>
      <c r="E13" s="16" t="n">
        <f aca="false">IF(D13="yes",EXP(B13),0)</f>
        <v>0</v>
      </c>
      <c r="F13" s="16" t="n">
        <f aca="false">IF(D13="yes",1/(1+EXP(-B13)),0)</f>
        <v>0</v>
      </c>
      <c r="G13" s="17" t="n">
        <f aca="false">IF($B$4=1,E13/SUM($E$7:$E$14),F13/SUM($F$7:$F$14))</f>
        <v>0</v>
      </c>
      <c r="H13" s="15" t="n">
        <v>0.7</v>
      </c>
      <c r="I13" s="15" t="n">
        <v>0.1</v>
      </c>
      <c r="J13" s="16" t="n">
        <f aca="false">G13*H13</f>
        <v>0</v>
      </c>
      <c r="K13" s="16" t="n">
        <f aca="false">G13*I13</f>
        <v>0</v>
      </c>
    </row>
    <row r="14" customFormat="false" ht="15" hidden="false" customHeight="true" outlineLevel="0" collapsed="false">
      <c r="A14" s="14" t="n">
        <v>8</v>
      </c>
      <c r="B14" s="15" t="n">
        <v>0.4</v>
      </c>
      <c r="C14" s="14" t="n">
        <f aca="false">RANK(B14,$B$7:$B$14)+COUNTIF($B$7:B14,B14)-1</f>
        <v>5</v>
      </c>
      <c r="D14" s="11" t="str">
        <f aca="false">IF(C14&lt;=$B$3,"yes","")</f>
        <v/>
      </c>
      <c r="E14" s="16" t="n">
        <f aca="false">IF(D14="yes",EXP(B14),0)</f>
        <v>0</v>
      </c>
      <c r="F14" s="16" t="n">
        <f aca="false">IF(D14="yes",1/(1+EXP(-B14)),0)</f>
        <v>0</v>
      </c>
      <c r="G14" s="17" t="n">
        <f aca="false">IF($B$4=1,E14/SUM($E$7:$E$14),F14/SUM($F$7:$F$14))</f>
        <v>0</v>
      </c>
      <c r="H14" s="15" t="n">
        <v>-0.6</v>
      </c>
      <c r="I14" s="15" t="n">
        <v>0.2</v>
      </c>
      <c r="J14" s="16" t="n">
        <f aca="false">G14*H14</f>
        <v>-0</v>
      </c>
      <c r="K14" s="16" t="n">
        <f aca="false">G14*I14</f>
        <v>0</v>
      </c>
    </row>
    <row r="16" customFormat="false" ht="15" hidden="false" customHeight="true" outlineLevel="0" collapsed="false">
      <c r="A16" s="18" t="s">
        <v>39</v>
      </c>
      <c r="J16" s="17" t="n">
        <f aca="false">SUM(J7:J14)</f>
        <v>0.678950128089962</v>
      </c>
      <c r="K16" s="17" t="n">
        <f aca="false">SUM(K7:K14)</f>
        <v>0.0618372758425673</v>
      </c>
    </row>
    <row r="17" customFormat="false" ht="15" hidden="false" customHeight="true" outlineLevel="0" collapsed="false">
      <c r="A17" s="11" t="s">
        <v>40</v>
      </c>
      <c r="E17" s="19" t="n">
        <f aca="false">SUM(E7:E14)</f>
        <v>20.3486638732711</v>
      </c>
    </row>
    <row r="18" customFormat="false" ht="15" hidden="false" customHeight="false" outlineLevel="0" collapsed="false">
      <c r="A18" s="11" t="s">
        <v>41</v>
      </c>
      <c r="B18" s="14" t="n">
        <f aca="false">COUNTIF(D7:D14,"yes")</f>
        <v>2</v>
      </c>
      <c r="C18" s="11" t="str">
        <f aca="false">IF(B18=$B$3,"OK","not k")</f>
        <v>OK</v>
      </c>
    </row>
    <row r="19" customFormat="false" ht="15" hidden="false" customHeight="true" outlineLevel="0" collapsed="false">
      <c r="A19" s="13" t="s">
        <v>42</v>
      </c>
      <c r="B19" s="13" t="s">
        <v>43</v>
      </c>
    </row>
    <row r="20" customFormat="false" ht="15" hidden="false" customHeight="true" outlineLevel="0" collapsed="false">
      <c r="A20" s="11" t="s">
        <v>44</v>
      </c>
      <c r="B20" s="20" t="n">
        <v>46.7</v>
      </c>
    </row>
    <row r="21" customFormat="false" ht="15" hidden="false" customHeight="true" outlineLevel="0" collapsed="false">
      <c r="A21" s="11" t="s">
        <v>45</v>
      </c>
      <c r="B21" s="20" t="n">
        <v>12.9</v>
      </c>
    </row>
    <row r="22" customFormat="false" ht="15" hidden="false" customHeight="true" outlineLevel="0" collapsed="false">
      <c r="A22" s="11" t="s">
        <v>46</v>
      </c>
      <c r="B22" s="21" t="n">
        <f aca="false">2*B21</f>
        <v>25.8</v>
      </c>
    </row>
    <row r="23" customFormat="false" ht="15" hidden="false" customHeight="true" outlineLevel="0" collapsed="false">
      <c r="A23" s="11" t="s">
        <v>47</v>
      </c>
      <c r="B23" s="21" t="n">
        <f aca="false">2*B20</f>
        <v>93.4</v>
      </c>
    </row>
    <row r="25" customFormat="false" ht="15" hidden="false" customHeight="true" outlineLevel="0" collapsed="false">
      <c r="A25" s="22" t="s">
        <v>48</v>
      </c>
    </row>
    <row r="26" customFormat="false" ht="15" hidden="false" customHeight="true" outlineLevel="0" collapsed="false">
      <c r="A26" s="22" t="s">
        <v>49</v>
      </c>
    </row>
    <row r="27" customFormat="false" ht="15" hidden="false" customHeight="true" outlineLevel="0" collapsed="false">
      <c r="A27" s="22" t="s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14"/>
    <col collapsed="false" customWidth="true" hidden="false" outlineLevel="0" max="3" min="3" style="1" width="12"/>
    <col collapsed="false" customWidth="true" hidden="false" outlineLevel="0" max="4" min="4" style="1" width="18"/>
    <col collapsed="false" customWidth="true" hidden="false" outlineLevel="0" max="5" min="5" style="1" width="10"/>
    <col collapsed="false" customWidth="true" hidden="false" outlineLevel="0" max="6" min="6" style="1" width="16"/>
    <col collapsed="false" customWidth="true" hidden="false" outlineLevel="0" max="7" min="7" style="1" width="10"/>
  </cols>
  <sheetData>
    <row r="1" customFormat="false" ht="15.75" hidden="false" customHeight="true" outlineLevel="0" collapsed="false">
      <c r="A1" s="10" t="s">
        <v>51</v>
      </c>
    </row>
    <row r="3" customFormat="false" ht="15" hidden="false" customHeight="true" outlineLevel="0" collapsed="false">
      <c r="A3" s="11" t="s">
        <v>52</v>
      </c>
      <c r="B3" s="23" t="n">
        <v>0.01</v>
      </c>
    </row>
    <row r="4" customFormat="false" ht="15" hidden="false" customHeight="true" outlineLevel="0" collapsed="false">
      <c r="A4" s="11" t="s">
        <v>53</v>
      </c>
      <c r="B4" s="15" t="n">
        <v>1.25</v>
      </c>
    </row>
    <row r="6" customFormat="false" ht="15" hidden="false" customHeight="true" outlineLevel="0" collapsed="false">
      <c r="A6" s="13" t="s">
        <v>28</v>
      </c>
      <c r="B6" s="13" t="s">
        <v>54</v>
      </c>
      <c r="C6" s="13" t="s">
        <v>55</v>
      </c>
      <c r="D6" s="13" t="s">
        <v>56</v>
      </c>
      <c r="E6" s="13" t="s">
        <v>57</v>
      </c>
      <c r="F6" s="13" t="s">
        <v>58</v>
      </c>
      <c r="G6" s="13" t="s">
        <v>59</v>
      </c>
    </row>
    <row r="7" customFormat="false" ht="15" hidden="false" customHeight="true" outlineLevel="0" collapsed="false">
      <c r="A7" s="14" t="n">
        <v>1</v>
      </c>
      <c r="B7" s="12" t="n">
        <v>4</v>
      </c>
      <c r="C7" s="16" t="n">
        <f aca="false">B7/SUM($B$7:$B$10)</f>
        <v>0.5</v>
      </c>
      <c r="D7" s="23" t="n">
        <v>0.4</v>
      </c>
      <c r="E7" s="24" t="n">
        <f aca="false">C7*D7</f>
        <v>0.2</v>
      </c>
      <c r="F7" s="14" t="n">
        <f aca="false">INT(SUM($B$7:$B$10)/COUNT($A$7:$A$10)*$B$4)</f>
        <v>2</v>
      </c>
      <c r="G7" s="14" t="n">
        <f aca="false">MAX(0,B7-F7)</f>
        <v>2</v>
      </c>
    </row>
    <row r="8" customFormat="false" ht="15" hidden="false" customHeight="true" outlineLevel="0" collapsed="false">
      <c r="A8" s="14" t="n">
        <v>2</v>
      </c>
      <c r="B8" s="12" t="n">
        <v>2</v>
      </c>
      <c r="C8" s="16" t="n">
        <f aca="false">B8/SUM($B$7:$B$10)</f>
        <v>0.25</v>
      </c>
      <c r="D8" s="23" t="n">
        <v>0.25</v>
      </c>
      <c r="E8" s="24" t="n">
        <f aca="false">C8*D8</f>
        <v>0.0625</v>
      </c>
      <c r="F8" s="14" t="n">
        <f aca="false">INT(SUM($B$7:$B$10)/COUNT($A$7:$A$10)*$B$4)</f>
        <v>2</v>
      </c>
      <c r="G8" s="14" t="n">
        <f aca="false">MAX(0,B8-F8)</f>
        <v>0</v>
      </c>
    </row>
    <row r="9" customFormat="false" ht="15" hidden="false" customHeight="true" outlineLevel="0" collapsed="false">
      <c r="A9" s="14" t="n">
        <v>3</v>
      </c>
      <c r="B9" s="12" t="n">
        <v>2</v>
      </c>
      <c r="C9" s="16" t="n">
        <f aca="false">B9/SUM($B$7:$B$10)</f>
        <v>0.25</v>
      </c>
      <c r="D9" s="23" t="n">
        <v>0.25</v>
      </c>
      <c r="E9" s="24" t="n">
        <f aca="false">C9*D9</f>
        <v>0.0625</v>
      </c>
      <c r="F9" s="14" t="n">
        <f aca="false">INT(SUM($B$7:$B$10)/COUNT($A$7:$A$10)*$B$4)</f>
        <v>2</v>
      </c>
      <c r="G9" s="14" t="n">
        <f aca="false">MAX(0,B9-F9)</f>
        <v>0</v>
      </c>
    </row>
    <row r="10" customFormat="false" ht="15" hidden="false" customHeight="true" outlineLevel="0" collapsed="false">
      <c r="A10" s="14" t="n">
        <v>4</v>
      </c>
      <c r="B10" s="12" t="n">
        <v>0</v>
      </c>
      <c r="C10" s="16" t="n">
        <f aca="false">B10/SUM($B$7:$B$10)</f>
        <v>0</v>
      </c>
      <c r="D10" s="23" t="n">
        <v>0.1</v>
      </c>
      <c r="E10" s="24" t="n">
        <f aca="false">C10*D10</f>
        <v>0</v>
      </c>
      <c r="F10" s="14" t="n">
        <f aca="false">INT(SUM($B$7:$B$10)/COUNT($A$7:$A$10)*$B$4)</f>
        <v>2</v>
      </c>
      <c r="G10" s="14" t="n">
        <f aca="false">MAX(0,B10-F10)</f>
        <v>0</v>
      </c>
    </row>
    <row r="12" customFormat="false" ht="15" hidden="false" customHeight="true" outlineLevel="0" collapsed="false">
      <c r="A12" s="18" t="s">
        <v>60</v>
      </c>
      <c r="B12" s="17" t="n">
        <f aca="false">SUM(E7:E10)</f>
        <v>0.325</v>
      </c>
    </row>
    <row r="13" customFormat="false" ht="15" hidden="false" customHeight="true" outlineLevel="0" collapsed="false">
      <c r="A13" s="18" t="s">
        <v>61</v>
      </c>
      <c r="B13" s="25" t="n">
        <f aca="false">COUNT(A7:A10)*B12</f>
        <v>1.3</v>
      </c>
    </row>
    <row r="14" customFormat="false" ht="15" hidden="false" customHeight="true" outlineLevel="0" collapsed="false">
      <c r="A14" s="18" t="s">
        <v>62</v>
      </c>
      <c r="B14" s="17" t="n">
        <f aca="false">B3*B13</f>
        <v>0.013</v>
      </c>
    </row>
    <row r="15" customFormat="false" ht="15" hidden="false" customHeight="true" outlineLevel="0" collapsed="false">
      <c r="A15" s="18" t="s">
        <v>63</v>
      </c>
      <c r="B15" s="17" t="n">
        <f aca="false">B3*1</f>
        <v>0.01</v>
      </c>
    </row>
    <row r="16" customFormat="false" ht="15" hidden="false" customHeight="true" outlineLevel="0" collapsed="false">
      <c r="A16" s="18" t="s">
        <v>64</v>
      </c>
      <c r="B16" s="25" t="n">
        <f aca="false">SUM(B7:B10)/COUNT(A7:A10)*B4</f>
        <v>2.5</v>
      </c>
    </row>
    <row r="17" customFormat="false" ht="15" hidden="false" customHeight="true" outlineLevel="0" collapsed="false">
      <c r="A17" s="18" t="s">
        <v>65</v>
      </c>
      <c r="B17" s="26" t="n">
        <f aca="false">SUM(G7:G10)</f>
        <v>2</v>
      </c>
    </row>
    <row r="19" customFormat="false" ht="15" hidden="false" customHeight="true" outlineLevel="0" collapsed="false">
      <c r="A19" s="22" t="s">
        <v>66</v>
      </c>
    </row>
    <row r="20" customFormat="false" ht="15" hidden="false" customHeight="true" outlineLevel="0" collapsed="false">
      <c r="A20" s="22" t="s">
        <v>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2"/>
    <col collapsed="false" customWidth="true" hidden="false" outlineLevel="0" max="2" min="2" style="1" width="20"/>
  </cols>
  <sheetData>
    <row r="1" customFormat="false" ht="15.75" hidden="false" customHeight="true" outlineLevel="0" collapsed="false">
      <c r="A1" s="10" t="s">
        <v>68</v>
      </c>
    </row>
    <row r="3" customFormat="false" ht="15" hidden="false" customHeight="true" outlineLevel="0" collapsed="false">
      <c r="A3" s="11" t="s">
        <v>69</v>
      </c>
      <c r="B3" s="27" t="n">
        <v>7168</v>
      </c>
    </row>
    <row r="4" customFormat="false" ht="15" hidden="false" customHeight="true" outlineLevel="0" collapsed="false">
      <c r="A4" s="11" t="s">
        <v>70</v>
      </c>
      <c r="B4" s="27" t="n">
        <v>61</v>
      </c>
    </row>
    <row r="5" customFormat="false" ht="15" hidden="false" customHeight="true" outlineLevel="0" collapsed="false">
      <c r="A5" s="11" t="s">
        <v>71</v>
      </c>
      <c r="B5" s="27" t="n">
        <v>3</v>
      </c>
    </row>
    <row r="6" customFormat="false" ht="15" hidden="false" customHeight="true" outlineLevel="0" collapsed="false">
      <c r="A6" s="11" t="s">
        <v>72</v>
      </c>
      <c r="B6" s="27" t="n">
        <v>18432</v>
      </c>
    </row>
    <row r="7" customFormat="false" ht="15" hidden="false" customHeight="true" outlineLevel="0" collapsed="false">
      <c r="A7" s="11" t="s">
        <v>73</v>
      </c>
      <c r="B7" s="27" t="n">
        <v>256</v>
      </c>
    </row>
    <row r="8" customFormat="false" ht="15" hidden="false" customHeight="true" outlineLevel="0" collapsed="false">
      <c r="A8" s="11" t="s">
        <v>74</v>
      </c>
      <c r="B8" s="27" t="n">
        <v>8</v>
      </c>
    </row>
    <row r="9" customFormat="false" ht="15" hidden="false" customHeight="true" outlineLevel="0" collapsed="false">
      <c r="A9" s="11" t="s">
        <v>75</v>
      </c>
      <c r="B9" s="27" t="n">
        <v>1</v>
      </c>
    </row>
    <row r="10" customFormat="false" ht="15" hidden="false" customHeight="true" outlineLevel="0" collapsed="false">
      <c r="A10" s="11" t="s">
        <v>76</v>
      </c>
      <c r="B10" s="27" t="n">
        <v>2048</v>
      </c>
    </row>
    <row r="11" customFormat="false" ht="15" hidden="false" customHeight="true" outlineLevel="0" collapsed="false">
      <c r="A11" s="11" t="s">
        <v>77</v>
      </c>
      <c r="B11" s="27" t="n">
        <v>129280</v>
      </c>
    </row>
    <row r="12" customFormat="false" ht="15" hidden="false" customHeight="true" outlineLevel="0" collapsed="false">
      <c r="A12" s="11" t="s">
        <v>78</v>
      </c>
      <c r="B12" s="27" t="n">
        <v>0</v>
      </c>
    </row>
    <row r="13" customFormat="false" ht="15" hidden="false" customHeight="true" outlineLevel="0" collapsed="false">
      <c r="A13" s="11" t="s">
        <v>79</v>
      </c>
      <c r="B13" s="27" t="n">
        <v>187107328</v>
      </c>
    </row>
    <row r="14" customFormat="false" ht="15" hidden="false" customHeight="true" outlineLevel="0" collapsed="false">
      <c r="A14" s="11" t="s">
        <v>80</v>
      </c>
      <c r="B14" s="27" t="n">
        <v>14</v>
      </c>
    </row>
    <row r="16" customFormat="false" ht="15" hidden="false" customHeight="true" outlineLevel="0" collapsed="false">
      <c r="A16" s="13" t="s">
        <v>81</v>
      </c>
      <c r="B16" s="13" t="s">
        <v>43</v>
      </c>
    </row>
    <row r="17" customFormat="false" ht="15" hidden="false" customHeight="true" outlineLevel="0" collapsed="false">
      <c r="A17" s="11" t="s">
        <v>82</v>
      </c>
      <c r="B17" s="28" t="n">
        <f aca="false">3*B3*B10</f>
        <v>44040192</v>
      </c>
    </row>
    <row r="18" customFormat="false" ht="15" hidden="false" customHeight="true" outlineLevel="0" collapsed="false">
      <c r="A18" s="11" t="s">
        <v>83</v>
      </c>
      <c r="B18" s="28" t="n">
        <f aca="false">B7*B3</f>
        <v>1835008</v>
      </c>
    </row>
    <row r="19" customFormat="false" ht="15" hidden="false" customHeight="true" outlineLevel="0" collapsed="false">
      <c r="A19" s="11" t="s">
        <v>84</v>
      </c>
      <c r="B19" s="28" t="n">
        <f aca="false">B13+3*B3*B6+2*B3</f>
        <v>583483392</v>
      </c>
    </row>
    <row r="20" customFormat="false" ht="15" hidden="false" customHeight="true" outlineLevel="0" collapsed="false">
      <c r="A20" s="11" t="s">
        <v>85</v>
      </c>
      <c r="B20" s="28" t="n">
        <f aca="false">B13+(B7+B9)*B17+B18+2*B3</f>
        <v>11507286016</v>
      </c>
    </row>
    <row r="21" customFormat="false" ht="15" hidden="false" customHeight="true" outlineLevel="0" collapsed="false">
      <c r="A21" s="11" t="s">
        <v>86</v>
      </c>
      <c r="B21" s="28" t="n">
        <f aca="false">B13+(B8+B9)*B17+B18+2*B3</f>
        <v>585318400</v>
      </c>
    </row>
    <row r="22" customFormat="false" ht="15" hidden="false" customHeight="true" outlineLevel="0" collapsed="false">
      <c r="A22" s="11" t="s">
        <v>87</v>
      </c>
      <c r="B22" s="28" t="n">
        <f aca="false">B11*B3*(2-B12)</f>
        <v>1853358080</v>
      </c>
    </row>
    <row r="23" customFormat="false" ht="15" hidden="false" customHeight="true" outlineLevel="0" collapsed="false">
      <c r="A23" s="11" t="s">
        <v>88</v>
      </c>
      <c r="B23" s="28" t="n">
        <f aca="false">B4*0+B5*B19+(B4-B5)*B20+B22+B3</f>
        <v>671026404352</v>
      </c>
    </row>
    <row r="24" customFormat="false" ht="15" hidden="false" customHeight="true" outlineLevel="0" collapsed="false">
      <c r="A24" s="11" t="s">
        <v>89</v>
      </c>
      <c r="B24" s="28" t="n">
        <f aca="false">B5*B19+(B4-B5)*B21+B22+B3</f>
        <v>37552282624</v>
      </c>
    </row>
    <row r="25" customFormat="false" ht="15" hidden="false" customHeight="true" outlineLevel="0" collapsed="false">
      <c r="A25" s="18" t="s">
        <v>90</v>
      </c>
      <c r="B25" s="29" t="n">
        <f aca="false">B23/1000000000</f>
        <v>671.026404352</v>
      </c>
    </row>
    <row r="26" customFormat="false" ht="15" hidden="false" customHeight="true" outlineLevel="0" collapsed="false">
      <c r="A26" s="18" t="s">
        <v>91</v>
      </c>
      <c r="B26" s="29" t="n">
        <f aca="false">B24/1000000000</f>
        <v>37.552282624</v>
      </c>
    </row>
    <row r="27" customFormat="false" ht="15" hidden="false" customHeight="true" outlineLevel="0" collapsed="false">
      <c r="A27" s="18" t="s">
        <v>92</v>
      </c>
      <c r="B27" s="30" t="n">
        <f aca="false">B24/B23</f>
        <v>0.0559624515226993</v>
      </c>
    </row>
    <row r="28" customFormat="false" ht="15" hidden="false" customHeight="true" outlineLevel="0" collapsed="false">
      <c r="A28" s="18" t="s">
        <v>93</v>
      </c>
      <c r="B28" s="29" t="n">
        <f aca="false">((B7+B9)*B17+B18)/1000000000</f>
        <v>11.320164352</v>
      </c>
    </row>
    <row r="29" customFormat="false" ht="15" hidden="false" customHeight="true" outlineLevel="0" collapsed="false">
      <c r="A29" s="18" t="s">
        <v>94</v>
      </c>
      <c r="B29" s="29" t="n">
        <f aca="false">B5*B19/1000000000</f>
        <v>1.750450176</v>
      </c>
    </row>
    <row r="30" customFormat="false" ht="15" hidden="false" customHeight="true" outlineLevel="0" collapsed="false">
      <c r="A30" s="18" t="s">
        <v>95</v>
      </c>
      <c r="B30" s="31" t="n">
        <f aca="false">(B4-B5)*B20/1000000000</f>
        <v>667.422588928</v>
      </c>
    </row>
    <row r="31" customFormat="false" ht="15" hidden="false" customHeight="true" outlineLevel="0" collapsed="false">
      <c r="A31" s="18" t="s">
        <v>96</v>
      </c>
      <c r="B31" s="31" t="n">
        <f aca="false">(B4-B5)*B21/1000000000</f>
        <v>33.9484672</v>
      </c>
    </row>
    <row r="32" customFormat="false" ht="15" hidden="false" customHeight="true" outlineLevel="0" collapsed="false">
      <c r="A32" s="18" t="s">
        <v>97</v>
      </c>
      <c r="B32" s="31" t="n">
        <f aca="false">(B4-B5)*(B7+B9)*B17/1000000000</f>
        <v>656.463101952</v>
      </c>
    </row>
    <row r="33" customFormat="false" ht="15" hidden="false" customHeight="true" outlineLevel="0" collapsed="false">
      <c r="A33" s="18" t="s">
        <v>98</v>
      </c>
      <c r="B33" s="30" t="n">
        <f aca="false">B32*1000000000/B23</f>
        <v>0.978296975639784</v>
      </c>
    </row>
    <row r="34" customFormat="false" ht="15" hidden="false" customHeight="true" outlineLevel="0" collapsed="false">
      <c r="A34" s="18" t="s">
        <v>99</v>
      </c>
      <c r="B34" s="31" t="n">
        <f aca="false">(B4-B5)*(B8+B9)*B17/1000000000</f>
        <v>22.988980224</v>
      </c>
    </row>
    <row r="35" customFormat="false" ht="15" hidden="false" customHeight="true" outlineLevel="0" collapsed="false">
      <c r="A35" s="18" t="s">
        <v>100</v>
      </c>
      <c r="B35" s="30" t="n">
        <f aca="false">B34/B32</f>
        <v>0.0350194552529183</v>
      </c>
    </row>
    <row r="36" customFormat="false" ht="15" hidden="false" customHeight="true" outlineLevel="0" collapsed="false">
      <c r="A36" s="18" t="s">
        <v>101</v>
      </c>
      <c r="B36" s="31" t="n">
        <f aca="false">B25+B14</f>
        <v>685.026404352</v>
      </c>
    </row>
    <row r="38" customFormat="false" ht="15" hidden="false" customHeight="true" outlineLevel="0" collapsed="false">
      <c r="A38" s="22" t="s">
        <v>102</v>
      </c>
    </row>
    <row r="39" customFormat="false" ht="15" hidden="false" customHeight="true" outlineLevel="0" collapsed="false">
      <c r="A39" s="22" t="s">
        <v>103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3" min="2" style="1" width="14"/>
    <col collapsed="false" customWidth="true" hidden="false" outlineLevel="0" max="4" min="4" style="1" width="16"/>
    <col collapsed="false" customWidth="true" hidden="false" outlineLevel="0" max="5" min="5" style="1" width="12"/>
    <col collapsed="false" customWidth="true" hidden="false" outlineLevel="0" max="6" min="6" style="1" width="18"/>
    <col collapsed="false" customWidth="true" hidden="false" outlineLevel="0" max="8" min="7" style="1" width="16"/>
    <col collapsed="false" customWidth="true" hidden="false" outlineLevel="0" max="9" min="9" style="1" width="12"/>
  </cols>
  <sheetData>
    <row r="1" customFormat="false" ht="15.75" hidden="false" customHeight="true" outlineLevel="0" collapsed="false">
      <c r="A1" s="10" t="s">
        <v>104</v>
      </c>
    </row>
    <row r="3" customFormat="false" ht="15" hidden="false" customHeight="true" outlineLevel="0" collapsed="false">
      <c r="A3" s="11" t="s">
        <v>105</v>
      </c>
      <c r="B3" s="20" t="n">
        <v>4.5</v>
      </c>
    </row>
    <row r="4" customFormat="false" ht="15" hidden="false" customHeight="true" outlineLevel="0" collapsed="false">
      <c r="A4" s="11" t="s">
        <v>106</v>
      </c>
      <c r="B4" s="27" t="n">
        <v>136</v>
      </c>
    </row>
    <row r="5" customFormat="false" ht="15" hidden="false" customHeight="true" outlineLevel="0" collapsed="false">
      <c r="A5" s="11" t="s">
        <v>107</v>
      </c>
      <c r="B5" s="27" t="n">
        <v>273</v>
      </c>
    </row>
    <row r="7" customFormat="false" ht="30" hidden="false" customHeight="true" outlineLevel="0" collapsed="false">
      <c r="A7" s="13" t="s">
        <v>108</v>
      </c>
      <c r="B7" s="13" t="s">
        <v>109</v>
      </c>
      <c r="C7" s="13" t="s">
        <v>110</v>
      </c>
      <c r="D7" s="13" t="s">
        <v>111</v>
      </c>
      <c r="E7" s="13" t="s">
        <v>112</v>
      </c>
      <c r="F7" s="13" t="s">
        <v>113</v>
      </c>
      <c r="G7" s="13" t="s">
        <v>114</v>
      </c>
      <c r="H7" s="13" t="s">
        <v>115</v>
      </c>
      <c r="I7" s="13" t="s">
        <v>116</v>
      </c>
    </row>
    <row r="8" customFormat="false" ht="15" hidden="false" customHeight="true" outlineLevel="0" collapsed="false">
      <c r="A8" s="32" t="s">
        <v>117</v>
      </c>
      <c r="B8" s="20" t="n">
        <v>32.8</v>
      </c>
      <c r="C8" s="20" t="n">
        <v>32.8</v>
      </c>
      <c r="D8" s="23" t="n">
        <v>0.778</v>
      </c>
      <c r="E8" s="33" t="n">
        <f aca="false">B8*$B$3/8</f>
        <v>18.45</v>
      </c>
      <c r="F8" s="19" t="n">
        <f aca="false">(C8-D8)*$B$3/8</f>
        <v>18.012375</v>
      </c>
      <c r="G8" s="26" t="n">
        <f aca="false">$B$4/F8</f>
        <v>7.55036467983817</v>
      </c>
      <c r="H8" s="26" t="n">
        <f aca="false">$B$5/F8</f>
        <v>15.1562467470281</v>
      </c>
      <c r="I8" s="21" t="n">
        <f aca="false">G8/$G$8</f>
        <v>1</v>
      </c>
    </row>
    <row r="9" customFormat="false" ht="15" hidden="false" customHeight="true" outlineLevel="0" collapsed="false">
      <c r="A9" s="32" t="s">
        <v>118</v>
      </c>
      <c r="B9" s="20" t="n">
        <v>30.5</v>
      </c>
      <c r="C9" s="20" t="n">
        <v>3.3</v>
      </c>
      <c r="D9" s="23" t="n">
        <v>0.311</v>
      </c>
      <c r="E9" s="33" t="n">
        <f aca="false">B9*$B$3/8</f>
        <v>17.15625</v>
      </c>
      <c r="F9" s="19" t="n">
        <f aca="false">(C9-D9)*$B$3/8</f>
        <v>1.6813125</v>
      </c>
      <c r="G9" s="26" t="n">
        <f aca="false">$B$4/F9</f>
        <v>80.8891862756031</v>
      </c>
      <c r="H9" s="26" t="n">
        <f aca="false">$B$5/F9</f>
        <v>162.373145979703</v>
      </c>
      <c r="I9" s="21" t="n">
        <f aca="false">G9/$G$8</f>
        <v>10.7132820341251</v>
      </c>
    </row>
    <row r="10" customFormat="false" ht="15" hidden="false" customHeight="true" outlineLevel="0" collapsed="false">
      <c r="A10" s="32" t="s">
        <v>119</v>
      </c>
      <c r="B10" s="20" t="n">
        <v>117</v>
      </c>
      <c r="C10" s="20" t="n">
        <v>5.1</v>
      </c>
      <c r="D10" s="23" t="n">
        <v>0.58</v>
      </c>
      <c r="E10" s="33" t="n">
        <f aca="false">B10*$B$3/8</f>
        <v>65.8125</v>
      </c>
      <c r="F10" s="19" t="n">
        <f aca="false">(C10-D10)*$B$3/8</f>
        <v>2.5425</v>
      </c>
      <c r="G10" s="26" t="n">
        <f aca="false">$B$4/F10</f>
        <v>53.4906588003933</v>
      </c>
      <c r="H10" s="26" t="n">
        <f aca="false">$B$5/F10</f>
        <v>107.374631268437</v>
      </c>
      <c r="I10" s="21" t="n">
        <f aca="false">G10/$G$8</f>
        <v>7.08451327433629</v>
      </c>
    </row>
    <row r="12" customFormat="false" ht="15" hidden="false" customHeight="true" outlineLevel="0" collapsed="false">
      <c r="A12" s="22" t="s">
        <v>120</v>
      </c>
    </row>
    <row r="13" customFormat="false" ht="15" hidden="false" customHeight="true" outlineLevel="0" collapsed="false">
      <c r="A13" s="22" t="s">
        <v>121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20"/>
    <col collapsed="false" customWidth="true" hidden="false" outlineLevel="0" max="3" min="3" style="1" width="26"/>
    <col collapsed="false" customWidth="true" hidden="false" outlineLevel="0" max="4" min="4" style="1" width="18"/>
    <col collapsed="false" customWidth="true" hidden="false" outlineLevel="0" max="5" min="5" style="1" width="16"/>
    <col collapsed="false" customWidth="true" hidden="false" outlineLevel="0" max="6" min="6" style="1" width="20"/>
    <col collapsed="false" customWidth="true" hidden="false" outlineLevel="0" max="7" min="7" style="1" width="16"/>
    <col collapsed="false" customWidth="true" hidden="false" outlineLevel="0" max="8" min="8" style="1" width="18"/>
  </cols>
  <sheetData>
    <row r="1" customFormat="false" ht="15.75" hidden="false" customHeight="true" outlineLevel="0" collapsed="false">
      <c r="A1" s="10" t="s">
        <v>122</v>
      </c>
    </row>
    <row r="3" customFormat="false" ht="15" hidden="false" customHeight="true" outlineLevel="0" collapsed="false">
      <c r="A3" s="11" t="s">
        <v>123</v>
      </c>
      <c r="B3" s="12" t="n">
        <v>128</v>
      </c>
    </row>
    <row r="4" customFormat="false" ht="15" hidden="false" customHeight="true" outlineLevel="0" collapsed="false">
      <c r="A4" s="11" t="s">
        <v>74</v>
      </c>
      <c r="B4" s="12" t="n">
        <v>8</v>
      </c>
    </row>
    <row r="5" customFormat="false" ht="15" hidden="false" customHeight="true" outlineLevel="0" collapsed="false">
      <c r="A5" s="11" t="s">
        <v>124</v>
      </c>
      <c r="B5" s="20" t="n">
        <v>30.5</v>
      </c>
    </row>
    <row r="6" customFormat="false" ht="15" hidden="false" customHeight="true" outlineLevel="0" collapsed="false">
      <c r="A6" s="11" t="s">
        <v>125</v>
      </c>
      <c r="B6" s="20" t="n">
        <v>3.3</v>
      </c>
    </row>
    <row r="7" customFormat="false" ht="15" hidden="false" customHeight="true" outlineLevel="0" collapsed="false">
      <c r="A7" s="11" t="s">
        <v>105</v>
      </c>
      <c r="B7" s="20" t="n">
        <v>4.5</v>
      </c>
    </row>
    <row r="8" customFormat="false" ht="15" hidden="false" customHeight="true" outlineLevel="0" collapsed="false">
      <c r="A8" s="11" t="s">
        <v>126</v>
      </c>
      <c r="B8" s="27" t="n">
        <v>1000</v>
      </c>
    </row>
    <row r="9" customFormat="false" ht="15" hidden="false" customHeight="true" outlineLevel="0" collapsed="false">
      <c r="A9" s="11" t="s">
        <v>127</v>
      </c>
      <c r="B9" s="23" t="n">
        <v>0.311</v>
      </c>
    </row>
    <row r="10" customFormat="false" ht="15" hidden="false" customHeight="true" outlineLevel="0" collapsed="false">
      <c r="A10" s="11" t="s">
        <v>128</v>
      </c>
      <c r="B10" s="27" t="n">
        <v>165</v>
      </c>
    </row>
    <row r="11" customFormat="false" ht="15" hidden="false" customHeight="true" outlineLevel="0" collapsed="false">
      <c r="A11" s="11" t="s">
        <v>129</v>
      </c>
      <c r="B11" s="27" t="n">
        <v>330</v>
      </c>
    </row>
    <row r="12" customFormat="false" ht="15" hidden="false" customHeight="true" outlineLevel="0" collapsed="false">
      <c r="A12" s="11" t="s">
        <v>130</v>
      </c>
      <c r="B12" s="20" t="n">
        <v>32.8</v>
      </c>
    </row>
    <row r="13" customFormat="false" ht="15" hidden="false" customHeight="true" outlineLevel="0" collapsed="false">
      <c r="A13" s="11" t="s">
        <v>131</v>
      </c>
      <c r="B13" s="23" t="n">
        <v>0.778</v>
      </c>
    </row>
    <row r="15" customFormat="false" ht="30" hidden="false" customHeight="true" outlineLevel="0" collapsed="false">
      <c r="A15" s="13" t="s">
        <v>132</v>
      </c>
      <c r="B15" s="13" t="s">
        <v>133</v>
      </c>
      <c r="C15" s="13" t="s">
        <v>134</v>
      </c>
      <c r="D15" s="13" t="s">
        <v>135</v>
      </c>
      <c r="E15" s="13" t="s">
        <v>136</v>
      </c>
      <c r="F15" s="13" t="s">
        <v>137</v>
      </c>
      <c r="G15" s="13" t="s">
        <v>138</v>
      </c>
      <c r="H15" s="13" t="s">
        <v>139</v>
      </c>
    </row>
    <row r="16" customFormat="false" ht="15" hidden="false" customHeight="true" outlineLevel="0" collapsed="false">
      <c r="A16" s="12" t="n">
        <v>1</v>
      </c>
      <c r="B16" s="30" t="n">
        <f aca="false">1-(1-$B$4/$B$3)^A16</f>
        <v>0.0625</v>
      </c>
      <c r="C16" s="19" t="n">
        <f aca="false">(($B$6-$B$4*($B$5-$B$6)/($B$3-$B$4)-$B$9)+$B$3*($B$5-$B$6)/($B$3-$B$4)*B16)*$B$7/8</f>
        <v>1.6813125</v>
      </c>
      <c r="D16" s="19" t="n">
        <f aca="false">C16/$B$8*1000</f>
        <v>1.6813125</v>
      </c>
      <c r="E16" s="28" t="n">
        <f aca="false">A16/(D16/1000)</f>
        <v>594.773428497082</v>
      </c>
      <c r="F16" s="16" t="n">
        <f aca="false">A16*2*$B$6*1000000000/1000000000000</f>
        <v>0.0066</v>
      </c>
      <c r="G16" s="33" t="n">
        <f aca="false">A16*$B$4/$B$3</f>
        <v>0.0625</v>
      </c>
      <c r="H16" s="19" t="n">
        <f aca="false">F16/$B$10*1000</f>
        <v>0.04</v>
      </c>
    </row>
    <row r="17" customFormat="false" ht="15" hidden="false" customHeight="true" outlineLevel="0" collapsed="false">
      <c r="A17" s="12" t="n">
        <v>2</v>
      </c>
      <c r="B17" s="30" t="n">
        <f aca="false">1-(1-$B$4/$B$3)^A17</f>
        <v>0.12109375</v>
      </c>
      <c r="C17" s="19" t="n">
        <f aca="false">(($B$6-$B$4*($B$5-$B$6)/($B$3-$B$4)-$B$9)+$B$3*($B$5-$B$6)/($B$3-$B$4)*B17)*$B$7/8</f>
        <v>2.6375625</v>
      </c>
      <c r="D17" s="19" t="n">
        <f aca="false">C17/$B$8*1000</f>
        <v>2.6375625</v>
      </c>
      <c r="E17" s="28" t="n">
        <f aca="false">A17/(D17/1000)</f>
        <v>758.275870240042</v>
      </c>
      <c r="F17" s="16" t="n">
        <f aca="false">A17*2*$B$6*1000000000/1000000000000</f>
        <v>0.0132</v>
      </c>
      <c r="G17" s="33" t="n">
        <f aca="false">A17*$B$4/$B$3</f>
        <v>0.125</v>
      </c>
      <c r="H17" s="19" t="n">
        <f aca="false">F17/$B$10*1000</f>
        <v>0.08</v>
      </c>
    </row>
    <row r="18" customFormat="false" ht="15" hidden="false" customHeight="true" outlineLevel="0" collapsed="false">
      <c r="A18" s="12" t="n">
        <v>4</v>
      </c>
      <c r="B18" s="30" t="n">
        <f aca="false">1-(1-$B$4/$B$3)^A18</f>
        <v>0.227523803710938</v>
      </c>
      <c r="C18" s="19" t="n">
        <f aca="false">(($B$6-$B$4*($B$5-$B$6)/($B$3-$B$4)-$B$9)+$B$3*($B$5-$B$6)/($B$3-$B$4)*B18)*$B$7/8</f>
        <v>4.3745009765625</v>
      </c>
      <c r="D18" s="19" t="n">
        <f aca="false">C18/$B$8*1000</f>
        <v>4.3745009765625</v>
      </c>
      <c r="E18" s="28" t="n">
        <f aca="false">A18/(D18/1000)</f>
        <v>914.390011896446</v>
      </c>
      <c r="F18" s="16" t="n">
        <f aca="false">A18*2*$B$6*1000000000/1000000000000</f>
        <v>0.0264</v>
      </c>
      <c r="G18" s="33" t="n">
        <f aca="false">A18*$B$4/$B$3</f>
        <v>0.25</v>
      </c>
      <c r="H18" s="19" t="n">
        <f aca="false">F18/$B$10*1000</f>
        <v>0.16</v>
      </c>
    </row>
    <row r="19" customFormat="false" ht="15" hidden="false" customHeight="true" outlineLevel="0" collapsed="false">
      <c r="A19" s="12" t="n">
        <v>8</v>
      </c>
      <c r="B19" s="30" t="n">
        <f aca="false">1-(1-$B$4/$B$3)^A19</f>
        <v>0.403280526166782</v>
      </c>
      <c r="C19" s="19" t="n">
        <f aca="false">(($B$6-$B$4*($B$5-$B$6)/($B$3-$B$4)-$B$9)+$B$3*($B$5-$B$6)/($B$3-$B$4)*B19)*$B$7/8</f>
        <v>7.24285068704188</v>
      </c>
      <c r="D19" s="19" t="n">
        <f aca="false">C19/$B$8*1000</f>
        <v>7.24285068704188</v>
      </c>
      <c r="E19" s="28" t="n">
        <f aca="false">A19/(D19/1000)</f>
        <v>1104.53747366527</v>
      </c>
      <c r="F19" s="16" t="n">
        <f aca="false">A19*2*$B$6*1000000000/1000000000000</f>
        <v>0.0528</v>
      </c>
      <c r="G19" s="33" t="n">
        <f aca="false">A19*$B$4/$B$3</f>
        <v>0.5</v>
      </c>
      <c r="H19" s="19" t="n">
        <f aca="false">F19/$B$10*1000</f>
        <v>0.32</v>
      </c>
    </row>
    <row r="20" customFormat="false" ht="15" hidden="false" customHeight="true" outlineLevel="0" collapsed="false">
      <c r="A20" s="12" t="n">
        <v>16</v>
      </c>
      <c r="B20" s="30" t="n">
        <f aca="false">1-(1-$B$4/$B$3)^A20</f>
        <v>0.643925869548207</v>
      </c>
      <c r="C20" s="19" t="n">
        <f aca="false">(($B$6-$B$4*($B$5-$B$6)/($B$3-$B$4)-$B$9)+$B$3*($B$5-$B$6)/($B$3-$B$4)*B20)*$B$7/8</f>
        <v>11.1701826910267</v>
      </c>
      <c r="D20" s="19" t="n">
        <f aca="false">C20/$B$8*1000</f>
        <v>11.1701826910267</v>
      </c>
      <c r="E20" s="28" t="n">
        <f aca="false">A20/(D20/1000)</f>
        <v>1432.38480896585</v>
      </c>
      <c r="F20" s="16" t="n">
        <f aca="false">A20*2*$B$6*1000000000/1000000000000</f>
        <v>0.1056</v>
      </c>
      <c r="G20" s="33" t="n">
        <f aca="false">A20*$B$4/$B$3</f>
        <v>1</v>
      </c>
      <c r="H20" s="19" t="n">
        <f aca="false">F20/$B$10*1000</f>
        <v>0.64</v>
      </c>
    </row>
    <row r="21" customFormat="false" ht="15" hidden="false" customHeight="true" outlineLevel="0" collapsed="false">
      <c r="A21" s="12" t="n">
        <v>32</v>
      </c>
      <c r="B21" s="30" t="n">
        <f aca="false">1-(1-$B$4/$B$3)^A21</f>
        <v>0.873211213623</v>
      </c>
      <c r="C21" s="19" t="n">
        <f aca="false">(($B$6-$B$4*($B$5-$B$6)/($B$3-$B$4)-$B$9)+$B$3*($B$5-$B$6)/($B$3-$B$4)*B21)*$B$7/8</f>
        <v>14.9121195063274</v>
      </c>
      <c r="D21" s="19" t="n">
        <f aca="false">C21/$B$8*1000</f>
        <v>14.9121195063274</v>
      </c>
      <c r="E21" s="28" t="n">
        <f aca="false">A21/(D21/1000)</f>
        <v>2145.90554926965</v>
      </c>
      <c r="F21" s="16" t="n">
        <f aca="false">A21*2*$B$6*1000000000/1000000000000</f>
        <v>0.2112</v>
      </c>
      <c r="G21" s="33" t="n">
        <f aca="false">A21*$B$4/$B$3</f>
        <v>2</v>
      </c>
      <c r="H21" s="19" t="n">
        <f aca="false">F21/$B$10*1000</f>
        <v>1.28</v>
      </c>
    </row>
    <row r="22" customFormat="false" ht="15" hidden="false" customHeight="true" outlineLevel="0" collapsed="false">
      <c r="A22" s="12" t="n">
        <v>64</v>
      </c>
      <c r="B22" s="30" t="n">
        <f aca="false">1-(1-$B$4/$B$3)^A22</f>
        <v>0.983924603649047</v>
      </c>
      <c r="C22" s="19" t="n">
        <f aca="false">(($B$6-$B$4*($B$5-$B$6)/($B$3-$B$4)-$B$9)+$B$3*($B$5-$B$6)/($B$3-$B$4)*B22)*$B$7/8</f>
        <v>16.7189620315525</v>
      </c>
      <c r="D22" s="19" t="n">
        <f aca="false">C22/$B$8*1000</f>
        <v>16.7189620315525</v>
      </c>
      <c r="E22" s="28" t="n">
        <f aca="false">A22/(D22/1000)</f>
        <v>3827.98883562374</v>
      </c>
      <c r="F22" s="16" t="n">
        <f aca="false">A22*2*$B$6*1000000000/1000000000000</f>
        <v>0.4224</v>
      </c>
      <c r="G22" s="33" t="n">
        <f aca="false">A22*$B$4/$B$3</f>
        <v>4</v>
      </c>
      <c r="H22" s="19" t="n">
        <f aca="false">F22/$B$10*1000</f>
        <v>2.56</v>
      </c>
    </row>
    <row r="23" customFormat="false" ht="15" hidden="false" customHeight="true" outlineLevel="0" collapsed="false">
      <c r="A23" s="12" t="n">
        <v>128</v>
      </c>
      <c r="B23" s="30" t="n">
        <f aca="false">1-(1-$B$4/$B$3)^A23</f>
        <v>0.99974158163216</v>
      </c>
      <c r="C23" s="19" t="n">
        <f aca="false">(($B$6-$B$4*($B$5-$B$6)/($B$3-$B$4)-$B$9)+$B$3*($B$5-$B$6)/($B$3-$B$4)*B23)*$B$7/8</f>
        <v>16.9770951122368</v>
      </c>
      <c r="D23" s="19" t="n">
        <f aca="false">C23/$B$8*1000</f>
        <v>16.9770951122368</v>
      </c>
      <c r="E23" s="28" t="n">
        <f aca="false">A23/(D23/1000)</f>
        <v>7539.57017698154</v>
      </c>
      <c r="F23" s="16" t="n">
        <f aca="false">A23*2*$B$6*1000000000/1000000000000</f>
        <v>0.8448</v>
      </c>
      <c r="G23" s="33" t="n">
        <f aca="false">A23*$B$4/$B$3</f>
        <v>8</v>
      </c>
      <c r="H23" s="19" t="n">
        <f aca="false">F23/$B$10*1000</f>
        <v>5.12</v>
      </c>
    </row>
    <row r="24" customFormat="false" ht="15" hidden="false" customHeight="true" outlineLevel="0" collapsed="false">
      <c r="A24" s="12" t="n">
        <v>256</v>
      </c>
      <c r="B24" s="30" t="n">
        <f aca="false">1-(1-$B$4/$B$3)^A24</f>
        <v>0.999999933219947</v>
      </c>
      <c r="C24" s="19" t="n">
        <f aca="false">(($B$6-$B$4*($B$5-$B$6)/($B$3-$B$4)-$B$9)+$B$3*($B$5-$B$6)/($B$3-$B$4)*B24)*$B$7/8</f>
        <v>16.9813114101495</v>
      </c>
      <c r="D24" s="19" t="n">
        <f aca="false">C24/$B$8*1000</f>
        <v>16.9813114101495</v>
      </c>
      <c r="E24" s="28" t="n">
        <f aca="false">A24/(D24/1000)</f>
        <v>15075.3963470096</v>
      </c>
      <c r="F24" s="16" t="n">
        <f aca="false">A24*2*$B$6*1000000000/1000000000000</f>
        <v>1.6896</v>
      </c>
      <c r="G24" s="33" t="n">
        <f aca="false">A24*$B$4/$B$3</f>
        <v>16</v>
      </c>
      <c r="H24" s="19" t="n">
        <f aca="false">F24/$B$10*1000</f>
        <v>10.24</v>
      </c>
    </row>
    <row r="26" customFormat="false" ht="15" hidden="false" customHeight="true" outlineLevel="0" collapsed="false">
      <c r="A26" s="13" t="s">
        <v>140</v>
      </c>
      <c r="B26" s="13" t="s">
        <v>141</v>
      </c>
      <c r="C26" s="13" t="s">
        <v>142</v>
      </c>
    </row>
    <row r="27" customFormat="false" ht="15" hidden="false" customHeight="true" outlineLevel="0" collapsed="false">
      <c r="A27" s="11" t="s">
        <v>132</v>
      </c>
      <c r="B27" s="12" t="n">
        <v>64</v>
      </c>
      <c r="C27" s="14" t="n">
        <f aca="false">B27</f>
        <v>64</v>
      </c>
    </row>
    <row r="28" customFormat="false" ht="15" hidden="false" customHeight="true" outlineLevel="0" collapsed="false">
      <c r="A28" s="11" t="s">
        <v>143</v>
      </c>
      <c r="B28" s="33" t="n">
        <f aca="false">$B$5*$B$7/8</f>
        <v>17.15625</v>
      </c>
      <c r="C28" s="33" t="n">
        <f aca="false">$B$12*$B$7/8</f>
        <v>18.45</v>
      </c>
    </row>
    <row r="29" customFormat="false" ht="15" hidden="false" customHeight="true" outlineLevel="0" collapsed="false">
      <c r="A29" s="11" t="s">
        <v>144</v>
      </c>
      <c r="B29" s="33" t="n">
        <f aca="false">(($B$6-$B$4*($B$5-$B$6)/($B$3-$B$4)-$B$9)+$B$3*($B$5-$B$6)/($B$3-$B$4)*(1-(1-$B$4/$B$3)^B27))*$B$7/8</f>
        <v>16.7189620315525</v>
      </c>
      <c r="C29" s="33" t="n">
        <f aca="false">($B$12-$B$13)*$B$7/8</f>
        <v>18.012375</v>
      </c>
    </row>
    <row r="30" customFormat="false" ht="15" hidden="false" customHeight="true" outlineLevel="0" collapsed="false">
      <c r="A30" s="11" t="s">
        <v>145</v>
      </c>
      <c r="B30" s="33" t="n">
        <f aca="false">B29/$B$8*1000</f>
        <v>16.7189620315525</v>
      </c>
      <c r="C30" s="33" t="n">
        <f aca="false">C29/$B$8*1000</f>
        <v>18.012375</v>
      </c>
    </row>
    <row r="31" customFormat="false" ht="15" hidden="false" customHeight="true" outlineLevel="0" collapsed="false">
      <c r="A31" s="11" t="s">
        <v>137</v>
      </c>
      <c r="B31" s="19" t="n">
        <f aca="false">B27*2*$B$6/1000</f>
        <v>0.4224</v>
      </c>
      <c r="C31" s="19" t="n">
        <f aca="false">C27*2*$B$12/1000</f>
        <v>4.1984</v>
      </c>
    </row>
    <row r="32" customFormat="false" ht="15" hidden="false" customHeight="true" outlineLevel="0" collapsed="false">
      <c r="A32" s="11" t="s">
        <v>139</v>
      </c>
      <c r="B32" s="33" t="n">
        <f aca="false">B31/$B$10*1000</f>
        <v>2.56</v>
      </c>
      <c r="C32" s="33" t="n">
        <f aca="false">C31/$B$10*1000</f>
        <v>25.4448484848485</v>
      </c>
    </row>
    <row r="33" customFormat="false" ht="15" hidden="false" customHeight="true" outlineLevel="0" collapsed="false">
      <c r="A33" s="11" t="s">
        <v>146</v>
      </c>
      <c r="B33" s="33" t="n">
        <f aca="false">B31/$B$11*1000</f>
        <v>1.28</v>
      </c>
      <c r="C33" s="33" t="n">
        <f aca="false">C31/$B$11*1000</f>
        <v>12.7224242424242</v>
      </c>
    </row>
    <row r="34" customFormat="false" ht="15" hidden="false" customHeight="true" outlineLevel="0" collapsed="false">
      <c r="A34" s="11" t="s">
        <v>147</v>
      </c>
      <c r="B34" s="33" t="n">
        <f aca="false">MAX(B30,B32)</f>
        <v>16.7189620315525</v>
      </c>
      <c r="C34" s="33" t="n">
        <f aca="false">MAX(C30,C32)</f>
        <v>25.4448484848485</v>
      </c>
    </row>
    <row r="35" customFormat="false" ht="15" hidden="false" customHeight="true" outlineLevel="0" collapsed="false">
      <c r="A35" s="11" t="s">
        <v>148</v>
      </c>
      <c r="B35" s="33" t="n">
        <f aca="false">MAX(B30,B33)</f>
        <v>16.7189620315525</v>
      </c>
      <c r="C35" s="33" t="n">
        <f aca="false">MAX(C30,C33)</f>
        <v>18.012375</v>
      </c>
    </row>
    <row r="36" customFormat="false" ht="15" hidden="false" customHeight="true" outlineLevel="0" collapsed="false">
      <c r="A36" s="11" t="s">
        <v>149</v>
      </c>
      <c r="B36" s="19"/>
      <c r="C36" s="19" t="n">
        <f aca="false">C34/B34</f>
        <v>1.52191556131465</v>
      </c>
    </row>
    <row r="37" customFormat="false" ht="15" hidden="false" customHeight="true" outlineLevel="0" collapsed="false">
      <c r="A37" s="11" t="s">
        <v>150</v>
      </c>
      <c r="B37" s="19"/>
      <c r="C37" s="19" t="n">
        <f aca="false">C35/B35</f>
        <v>1.07736203754794</v>
      </c>
    </row>
    <row r="38" customFormat="false" ht="15" hidden="false" customHeight="true" outlineLevel="0" collapsed="false">
      <c r="A38" s="11" t="s">
        <v>151</v>
      </c>
      <c r="B38" s="33"/>
      <c r="C38" s="33" t="n">
        <f aca="false">C31/B31</f>
        <v>9.93939393939394</v>
      </c>
    </row>
    <row r="39" customFormat="false" ht="15" hidden="false" customHeight="true" outlineLevel="0" collapsed="false">
      <c r="A39" s="11" t="s">
        <v>152</v>
      </c>
      <c r="B39" s="14" t="n">
        <f aca="false">B3/B4</f>
        <v>16</v>
      </c>
      <c r="C39" s="14"/>
    </row>
    <row r="41" customFormat="false" ht="15" hidden="false" customHeight="true" outlineLevel="0" collapsed="false">
      <c r="A41" s="22" t="s">
        <v>153</v>
      </c>
    </row>
    <row r="42" customFormat="false" ht="15" hidden="false" customHeight="true" outlineLevel="0" collapsed="false">
      <c r="A42" s="22" t="s">
        <v>154</v>
      </c>
    </row>
    <row r="43" customFormat="false" ht="15" hidden="false" customHeight="false" outlineLevel="0" collapsed="false">
      <c r="A43" s="22" t="s">
        <v>155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6"/>
    <col collapsed="false" customWidth="true" hidden="false" outlineLevel="0" max="2" min="2" style="1" width="16"/>
  </cols>
  <sheetData>
    <row r="1" customFormat="false" ht="15.75" hidden="false" customHeight="true" outlineLevel="0" collapsed="false">
      <c r="A1" s="10" t="s">
        <v>156</v>
      </c>
    </row>
    <row r="3" customFormat="false" ht="15" hidden="false" customHeight="true" outlineLevel="0" collapsed="false">
      <c r="A3" s="11" t="s">
        <v>69</v>
      </c>
      <c r="B3" s="27" t="n">
        <v>7168</v>
      </c>
    </row>
    <row r="4" customFormat="false" ht="15" hidden="false" customHeight="true" outlineLevel="0" collapsed="false">
      <c r="A4" s="11" t="s">
        <v>157</v>
      </c>
      <c r="B4" s="12" t="n">
        <v>8</v>
      </c>
    </row>
    <row r="5" customFormat="false" ht="15" hidden="false" customHeight="true" outlineLevel="0" collapsed="false">
      <c r="A5" s="11" t="s">
        <v>158</v>
      </c>
      <c r="B5" s="12" t="n">
        <v>2</v>
      </c>
    </row>
    <row r="6" customFormat="false" ht="15" hidden="false" customHeight="true" outlineLevel="0" collapsed="false">
      <c r="A6" s="11" t="s">
        <v>159</v>
      </c>
      <c r="B6" s="12" t="n">
        <v>2</v>
      </c>
    </row>
    <row r="7" customFormat="false" ht="15" hidden="false" customHeight="true" outlineLevel="0" collapsed="false">
      <c r="A7" s="11" t="s">
        <v>160</v>
      </c>
      <c r="B7" s="12" t="n">
        <v>58</v>
      </c>
    </row>
    <row r="8" customFormat="false" ht="15" hidden="false" customHeight="true" outlineLevel="0" collapsed="false">
      <c r="A8" s="11" t="s">
        <v>161</v>
      </c>
      <c r="B8" s="27" t="n">
        <v>10000</v>
      </c>
    </row>
    <row r="9" customFormat="false" ht="15" hidden="false" customHeight="true" outlineLevel="0" collapsed="false">
      <c r="A9" s="11" t="s">
        <v>162</v>
      </c>
      <c r="B9" s="27" t="n">
        <v>400</v>
      </c>
    </row>
    <row r="10" customFormat="false" ht="15" hidden="false" customHeight="true" outlineLevel="0" collapsed="false">
      <c r="A10" s="11" t="s">
        <v>163</v>
      </c>
      <c r="B10" s="15" t="n">
        <v>0.5</v>
      </c>
    </row>
    <row r="12" customFormat="false" ht="15" hidden="false" customHeight="true" outlineLevel="0" collapsed="false">
      <c r="A12" s="13" t="s">
        <v>81</v>
      </c>
      <c r="B12" s="13" t="s">
        <v>43</v>
      </c>
    </row>
    <row r="13" customFormat="false" ht="15" hidden="false" customHeight="true" outlineLevel="0" collapsed="false">
      <c r="A13" s="18" t="s">
        <v>164</v>
      </c>
      <c r="B13" s="34" t="n">
        <f aca="false">B3*B5</f>
        <v>14336</v>
      </c>
    </row>
    <row r="14" customFormat="false" ht="15" hidden="false" customHeight="true" outlineLevel="0" collapsed="false">
      <c r="A14" s="18" t="s">
        <v>165</v>
      </c>
      <c r="B14" s="31" t="n">
        <f aca="false">B3*B4*B5/1000</f>
        <v>114.688</v>
      </c>
    </row>
    <row r="15" customFormat="false" ht="15" hidden="false" customHeight="true" outlineLevel="0" collapsed="false">
      <c r="A15" s="18" t="s">
        <v>166</v>
      </c>
      <c r="B15" s="34" t="n">
        <f aca="false">B3*B4*(B5+B6)</f>
        <v>229376</v>
      </c>
    </row>
    <row r="16" customFormat="false" ht="15" hidden="false" customHeight="true" outlineLevel="0" collapsed="false">
      <c r="A16" s="18" t="s">
        <v>167</v>
      </c>
      <c r="B16" s="21" t="n">
        <f aca="false">B15*B7/1000000</f>
        <v>13.303808</v>
      </c>
    </row>
    <row r="17" customFormat="false" ht="15" hidden="false" customHeight="true" outlineLevel="0" collapsed="false">
      <c r="A17" s="18" t="s">
        <v>168</v>
      </c>
      <c r="B17" s="31" t="n">
        <f aca="false">B16*B8/1000</f>
        <v>133.03808</v>
      </c>
    </row>
    <row r="18" customFormat="false" ht="15" hidden="false" customHeight="true" outlineLevel="0" collapsed="false">
      <c r="A18" s="18" t="s">
        <v>169</v>
      </c>
      <c r="B18" s="31" t="n">
        <f aca="false">B17*B10/2</f>
        <v>33.25952</v>
      </c>
    </row>
    <row r="19" customFormat="false" ht="15" hidden="false" customHeight="true" outlineLevel="0" collapsed="false">
      <c r="A19" s="18" t="s">
        <v>170</v>
      </c>
      <c r="B19" s="34" t="n">
        <f aca="false">B9/8</f>
        <v>50</v>
      </c>
    </row>
    <row r="20" customFormat="false" ht="15" hidden="false" customHeight="true" outlineLevel="0" collapsed="false">
      <c r="A20" s="18" t="s">
        <v>171</v>
      </c>
      <c r="B20" s="35" t="n">
        <f aca="false">B18/B19</f>
        <v>0.6651904</v>
      </c>
    </row>
    <row r="22" customFormat="false" ht="15" hidden="false" customHeight="true" outlineLevel="0" collapsed="false">
      <c r="A22" s="22" t="s">
        <v>172</v>
      </c>
    </row>
    <row r="23" customFormat="false" ht="15" hidden="false" customHeight="true" outlineLevel="0" collapsed="false">
      <c r="A23" s="22" t="s">
        <v>173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2026-10-01T22:34:28Z</dcterms:created>
  <dc:creator>Leonhard Korowajczuk</dc:creator>
  <dc:description/>
  <dc:language>en-US</dc:language>
  <cp:lastModifiedBy>Leonhard Korowajczuk</cp:lastModifiedBy>
  <dcterms:modified xsi:type="dcterms:W3CDTF">2026-10-26T14:20:12Z</dcterms:modified>
  <cp:revision>0</cp:revision>
  <dc:subject/>
  <dc:title>Mixture of Experts — companion workbook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