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Neuron &amp; Activations" sheetId="2" state="visible" r:id="rId4"/>
    <sheet name="Gradient Step" sheetId="3" state="visible" r:id="rId5"/>
    <sheet name="Number Formats" sheetId="4" state="visible" r:id="rId6"/>
    <sheet name="Tensor Shapes" sheetId="5" state="visible" r:id="rId7"/>
    <sheet name="Parameter Count" sheetId="6" state="visible" r:id="rId8"/>
    <sheet name="Memory" sheetId="7" state="visible" r:id="rId9"/>
    <sheet name="Arithmetic Intensity" sheetId="8" state="visible" r:id="rId10"/>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<sst xmlns="http://schemas.openxmlformats.org/spreadsheetml/2006/main" count="260" uniqueCount="237">
  <si>
    <t xml:space="preserve">Chapter 2 — Neural Network Essentials for LLMs</t>
  </si>
  <si>
    <t xml:space="preserve">Companion workbook of The Birth and Adolescence of Artificial Intelligence, Volume 1, by Leonhard Korowajczuk. Blue cells on a light yellow background are inputs: change them and every result recalculates.</t>
  </si>
  <si>
    <t xml:space="preserve">Sheet</t>
  </si>
  <si>
    <t xml:space="preserve">What it computes</t>
  </si>
  <si>
    <t xml:space="preserve">Book reference</t>
  </si>
  <si>
    <t xml:space="preserve">Neuron &amp; Activations</t>
  </si>
  <si>
    <t xml:space="preserve">A neuron's weighted sum, Φ(z) and σ(z), its ReLU / GELU / SiLU outputs, and a table of the three functions.</t>
  </si>
  <si>
    <t xml:space="preserve">Section 2.1.4, Worked Example 2.1, Figure 2.2</t>
  </si>
  <si>
    <t xml:space="preserve">Gradient Step</t>
  </si>
  <si>
    <t xml:space="preserve">Gradient-descent updates of a one-weight neuron and a comparison of four learning rates.</t>
  </si>
  <si>
    <t xml:space="preserve">Section 2.2.2, Worked Example 2.2, Figure 2.3</t>
  </si>
  <si>
    <t xml:space="preserve">Number Formats</t>
  </si>
  <si>
    <t xml:space="preserve">Range, precision, overflow, underflow and lost updates in FP32, BF16, FP16, FP8 and FP4; bits per weight of block-scaled formats (MXFP4, NVFP4, GGUF).</t>
  </si>
  <si>
    <t xml:space="preserve">Section 2.4, Table 2.1, Worked Example 2.3</t>
  </si>
  <si>
    <t xml:space="preserve">Tensor Shapes</t>
  </si>
  <si>
    <t xml:space="preserve">Sizes of the activation, feed-forward and attention-score tensors for any batch size, context length and model dimension.</t>
  </si>
  <si>
    <t xml:space="preserve">Section 2.5.1</t>
  </si>
  <si>
    <t xml:space="preserve">Parameter Count</t>
  </si>
  <si>
    <t xml:space="preserve">Parameters of a decoder-only Transformer from its configuration, with grouped-query attention (Llama 2 7B, Mistral 7B, Llama 3 8B).</t>
  </si>
  <si>
    <t xml:space="preserve">Section 2.5.3, Worked Example 2.4</t>
  </si>
  <si>
    <t xml:space="preserve">Memory</t>
  </si>
  <si>
    <t xml:space="preserve">Inference memory by number format against a 24 GB workstation GPU, and training memory with mixed-precision AdamW against 80 GB H100 and 141 GB H200 GPUs.</t>
  </si>
  <si>
    <t xml:space="preserve">Section 2.5.4, Table 2.2, Worked Example 2.5; also Worked Example 1.4</t>
  </si>
  <si>
    <t xml:space="preserve">Arithmetic Intensity</t>
  </si>
  <si>
    <t xml:space="preserve">Prefill and decode compared with a GPU's compute-to-bandwidth ratio, the effect of batching, the balance point of the Rack's H200 and the decode ceilings of Worked Example 1.4.</t>
  </si>
  <si>
    <t xml:space="preserve">Section 2.5.5, Figure 2.7; also Worked Example 1.4</t>
  </si>
  <si>
    <t xml:space="preserve">Notes</t>
  </si>
  <si>
    <t xml:space="preserve">GELU uses the exact form x·Φ(x) with the standard normal distribution (NORMSDIST).</t>
  </si>
  <si>
    <t xml:space="preserve">Number Formats rounds with MROUND (round half away from zero); hardware rounds half to even, which differs only for exact ties.</t>
  </si>
  <si>
    <t xml:space="preserve">GPU figures (H100 SXM: 989 TFLOP/s dense BF16, 3.35 TB/s; H200 of the Rack in Table P.3: same compute, 4.8 TB/s) are vendor peak values; change them for other hardware.</t>
  </si>
  <si>
    <t xml:space="preserve">Notation follows Table P.2 of the book: d model dimension, d_ff feed-forward size, n_vocab vocabulary size, L layers, h heads, h_kv key–value heads, B batch size, n context length, q bits per weight, BW memory bandwidth.</t>
  </si>
  <si>
    <t xml:space="preserve">Units are decimal, as in the book: 1 GB = 10^9 bytes, 1 TB = 10^12 bytes.</t>
  </si>
  <si>
    <t xml:space="preserve">One Neuron and Three Activation Functions (Worked Example 2.1)</t>
  </si>
  <si>
    <t xml:space="preserve">x (input)</t>
  </si>
  <si>
    <t xml:space="preserve">w (weight)</t>
  </si>
  <si>
    <t xml:space="preserve">w·x</t>
  </si>
  <si>
    <t xml:space="preserve">input 1</t>
  </si>
  <si>
    <t xml:space="preserve">input 2</t>
  </si>
  <si>
    <t xml:space="preserve">input 3</t>
  </si>
  <si>
    <t xml:space="preserve">bias b</t>
  </si>
  <si>
    <t xml:space="preserve">z = Σ w·x + b</t>
  </si>
  <si>
    <t xml:space="preserve">ReLU(z) = max(0, z)</t>
  </si>
  <si>
    <t xml:space="preserve">GELU(z) = z·Φ(z)</t>
  </si>
  <si>
    <t xml:space="preserve">Φ(z) =</t>
  </si>
  <si>
    <t xml:space="preserve">SiLU(z) = z·σ(z)</t>
  </si>
  <si>
    <t xml:space="preserve">σ(z) =</t>
  </si>
  <si>
    <t xml:space="preserve">x</t>
  </si>
  <si>
    <t xml:space="preserve">ReLU</t>
  </si>
  <si>
    <t xml:space="preserve">GELU</t>
  </si>
  <si>
    <t xml:space="preserve">SiLU</t>
  </si>
  <si>
    <t xml:space="preserve">Figure 2.2 plots the same three functions. Note how GELU and SiLU dip slightly below zero for small negative inputs.</t>
  </si>
  <si>
    <t xml:space="preserve">Gradient Descent on y = w·x + b with squared-error loss ℒ = ½(y − t)² (Worked Example 2.2)</t>
  </si>
  <si>
    <t xml:space="preserve">Learning-rate comparison (Figure 2.3)</t>
  </si>
  <si>
    <t xml:space="preserve">target t</t>
  </si>
  <si>
    <t xml:space="preserve">initial w</t>
  </si>
  <si>
    <t xml:space="preserve">initial b</t>
  </si>
  <si>
    <t xml:space="preserve">learning rate η</t>
  </si>
  <si>
    <t xml:space="preserve">η →</t>
  </si>
  <si>
    <t xml:space="preserve">Step</t>
  </si>
  <si>
    <t xml:space="preserve">w</t>
  </si>
  <si>
    <t xml:space="preserve">b</t>
  </si>
  <si>
    <t xml:space="preserve">y = w·x + b</t>
  </si>
  <si>
    <t xml:space="preserve">Loss ℒ = ½(y − t)²</t>
  </si>
  <si>
    <t xml:space="preserve">∂ℒ/∂w = (y − t)·x</t>
  </si>
  <si>
    <t xml:space="preserve">∂ℒ/∂b = (y − t)</t>
  </si>
  <si>
    <t xml:space="preserve">y</t>
  </si>
  <si>
    <t xml:space="preserve">Each step multiplies the error y − t by 1 − η(x² + 1).</t>
  </si>
  <si>
    <t xml:space="preserve">With x = 2 that factor is 1 − 5η: η = 0.1 halves the error; η = 0.2 removes it in one step.</t>
  </si>
  <si>
    <t xml:space="preserve">Factor 1 − η(x²+1)</t>
  </si>
  <si>
    <t xml:space="preserve">Behavior</t>
  </si>
  <si>
    <t xml:space="preserve">y evolves as y ← y − η(y − t)(x² + 1), which follows from the updates of w and b. Target t is in B4.</t>
  </si>
  <si>
    <t xml:space="preserve">Floating-Point Formats: Range, Precision, Overflow, Underflow and Lost Updates (Worked Example 2.3)</t>
  </si>
  <si>
    <t xml:space="preserve">Largest finite values are taken from the format specifications (OCP FP8 E4M3 and FP4 E2M1 have no infinity). The other columns are computed.</t>
  </si>
  <si>
    <t xml:space="preserve">Test value x₁ (overflow test)</t>
  </si>
  <si>
    <t xml:space="preserve">Test value x₂ (underflow test)</t>
  </si>
  <si>
    <t xml:space="preserve">Weight w</t>
  </si>
  <si>
    <t xml:space="preserve">Update u</t>
  </si>
  <si>
    <t xml:space="preserve">w + u (exact)</t>
  </si>
  <si>
    <t xml:space="preserve">Format</t>
  </si>
  <si>
    <t xml:space="preserve">Sign bits</t>
  </si>
  <si>
    <t xml:space="preserve">Exponent bits e</t>
  </si>
  <si>
    <t xml:space="preserve">Mantissa bits m</t>
  </si>
  <si>
    <t xml:space="preserve">Exponent bias</t>
  </si>
  <si>
    <t xml:space="preserve">Largest finite value</t>
  </si>
  <si>
    <t xml:space="preserve">Smallest normal = 2^(1−bias)</t>
  </si>
  <si>
    <t xml:space="preserve">Smallest subnormal = 2^(1−bias−m)</t>
  </si>
  <si>
    <t xml:space="preserve">Precision ≈ (m+1)·log₁₀2 digits</t>
  </si>
  <si>
    <t xml:space="preserve">Spacing near 1.0 = 2^−m</t>
  </si>
  <si>
    <t xml:space="preserve">FP32</t>
  </si>
  <si>
    <t xml:space="preserve">BF16</t>
  </si>
  <si>
    <t xml:space="preserve">FP16</t>
  </si>
  <si>
    <t xml:space="preserve">FP8 E4M3</t>
  </si>
  <si>
    <t xml:space="preserve">FP8 E5M2</t>
  </si>
  <si>
    <t xml:space="preserve">FP4 E2M1</t>
  </si>
  <si>
    <t xml:space="preserve">x₁ stored as</t>
  </si>
  <si>
    <t xml:space="preserve">x₁ status</t>
  </si>
  <si>
    <t xml:space="preserve">x₂ stored as</t>
  </si>
  <si>
    <t xml:space="preserve">x₂ status</t>
  </si>
  <si>
    <t xml:space="preserve">Spacing near w + u</t>
  </si>
  <si>
    <t xml:space="preserve">w + u stored as</t>
  </si>
  <si>
    <t xml:space="preserve">Update kept?</t>
  </si>
  <si>
    <t xml:space="preserve">Reading: with the default inputs FP16 overflows on 70,000 and flushes 1 × 10⁻⁸ to zero, while BF16 stores both — but BF16 loses the update 1.0 + 0.001, which FP32 keeps (Worked Example 2.3).</t>
  </si>
  <si>
    <t xml:space="preserve">Block-scaled formats: effective bits per weight</t>
  </si>
  <si>
    <t xml:space="preserve">Parameters N (for the size column)</t>
  </si>
  <si>
    <t xml:space="preserve">Element bits</t>
  </si>
  <si>
    <t xml:space="preserve">Block size (values per scale)</t>
  </si>
  <si>
    <t xml:space="preserve">Scale bits</t>
  </si>
  <si>
    <t xml:space="preserve">Bits per weight = element + scale ÷ block</t>
  </si>
  <si>
    <t xml:space="preserve">Weights for N parameters (GB)</t>
  </si>
  <si>
    <t xml:space="preserve">MXFP4 (OCP)</t>
  </si>
  <si>
    <t xml:space="preserve">NVFP4 (NVIDIA)</t>
  </si>
  <si>
    <t xml:space="preserve">MXFP8 (OCP)</t>
  </si>
  <si>
    <t xml:space="preserve">GGUF Q4_0 (llama.cpp)</t>
  </si>
  <si>
    <t xml:space="preserve">GGUF Q8_0 (llama.cpp)</t>
  </si>
  <si>
    <t xml:space="preserve">NVFP4 also applies one FP32 scale per tensor, which adds a negligible amount. GGUF k-quants use super-blocks of 256 weights; because some tensors are kept at higher precision, whole 4-bit GGUF files average about 4.6 bits per weight (Q4_0) to 4.9 bits (Q4_K_M, the usual Box default; Table 14.1).</t>
  </si>
  <si>
    <t xml:space="preserve">Tensor Shapes and Sizes (Section 2.5.1)</t>
  </si>
  <si>
    <t xml:space="preserve">Batch size B (sequences)</t>
  </si>
  <si>
    <t xml:space="preserve">Context length n (tokens per sequence)</t>
  </si>
  <si>
    <t xml:space="preserve">Model dimension d</t>
  </si>
  <si>
    <t xml:space="preserve">Attention heads h</t>
  </si>
  <si>
    <t xml:space="preserve">Feed-forward size d_ff</t>
  </si>
  <si>
    <t xml:space="preserve">Bytes per number (BF16 = 2)</t>
  </si>
  <si>
    <t xml:space="preserve">Head dimension d_k = d ÷ h</t>
  </si>
  <si>
    <t xml:space="preserve">Tensor</t>
  </si>
  <si>
    <t xml:space="preserve">Shape</t>
  </si>
  <si>
    <t xml:space="preserve">Numbers</t>
  </si>
  <si>
    <t xml:space="preserve">Size (GB)</t>
  </si>
  <si>
    <t xml:space="preserve">Activations (token vectors)</t>
  </si>
  <si>
    <t xml:space="preserve">[B, n, d]</t>
  </si>
  <si>
    <t xml:space="preserve">Queries, keys or values (each)</t>
  </si>
  <si>
    <t xml:space="preserve">Feed-forward intermediate</t>
  </si>
  <si>
    <t xml:space="preserve">[B, n, d_ff]</t>
  </si>
  <si>
    <t xml:space="preserve">Attention scores (one layer)</t>
  </si>
  <si>
    <t xml:space="preserve">[B, h, n, n]</t>
  </si>
  <si>
    <t xml:space="preserve">Attention scores grow with n², the quadratic cost examined in Section 4.7. Fused kernels such as FlashAttention (Section 6.7) compute them in tiles and never store the full tensor, so the growth is mainly a cost in computation rather than memory.</t>
  </si>
  <si>
    <t xml:space="preserve">Parameters of a Decoder-Only Transformer with SwiGLU and Grouped-Query Attention (Worked Example 2.4)</t>
  </si>
  <si>
    <t xml:space="preserve">Configuration (config.json name)</t>
  </si>
  <si>
    <t xml:space="preserve">Llama 2 7B</t>
  </si>
  <si>
    <t xml:space="preserve">Mistral 7B</t>
  </si>
  <si>
    <t xml:space="preserve">Llama 3 8B</t>
  </si>
  <si>
    <t xml:space="preserve">Model dimension d (hidden_size)</t>
  </si>
  <si>
    <t xml:space="preserve">Layers L (num_hidden_layers)</t>
  </si>
  <si>
    <t xml:space="preserve">Query heads h (num_attention_heads)</t>
  </si>
  <si>
    <t xml:space="preserve">Key–value heads h_kv (num_key_value_heads)</t>
  </si>
  <si>
    <t xml:space="preserve">Feed-forward size d_ff (intermediate_size)</t>
  </si>
  <si>
    <t xml:space="preserve">Vocabulary n_vocab (vocab_size)</t>
  </si>
  <si>
    <t xml:space="preserve">Separate output projection? (1 = yes, 0 = tied)</t>
  </si>
  <si>
    <t xml:space="preserve">W_Q = d × d</t>
  </si>
  <si>
    <t xml:space="preserve">W_K = d × (KV heads × d_k)</t>
  </si>
  <si>
    <t xml:space="preserve">W_V = d × (KV heads × d_k)</t>
  </si>
  <si>
    <t xml:space="preserve">W_O = d × d</t>
  </si>
  <si>
    <t xml:space="preserve">Attention per layer</t>
  </si>
  <si>
    <t xml:space="preserve">Feed-forward per layer = 3·d·d_ff</t>
  </si>
  <si>
    <t xml:space="preserve">Norm gains per layer = 2d</t>
  </si>
  <si>
    <t xml:space="preserve">Per layer</t>
  </si>
  <si>
    <t xml:space="preserve">All L layers</t>
  </si>
  <si>
    <t xml:space="preserve">Input embedding = n_vocab × d</t>
  </si>
  <si>
    <t xml:space="preserve">Output projection = n_vocab × d (if separate)</t>
  </si>
  <si>
    <t xml:space="preserve">Final norm = d</t>
  </si>
  <si>
    <t xml:space="preserve">Total parameters</t>
  </si>
  <si>
    <t xml:space="preserve">Total (billions)</t>
  </si>
  <si>
    <t xml:space="preserve">Embedding matrices = n_vocab × d, input + output if separate</t>
  </si>
  <si>
    <t xml:space="preserve">Normalization gains, all layers + final = L·2d + d</t>
  </si>
  <si>
    <t xml:space="preserve">Share in attention</t>
  </si>
  <si>
    <t xml:space="preserve">Share in feed-forward</t>
  </si>
  <si>
    <t xml:space="preserve">Share in embeddings</t>
  </si>
  <si>
    <t xml:space="preserve">Reported total (billions)</t>
  </si>
  <si>
    <t xml:space="preserve">Default values are the published configurations; none of these models uses bias terms. With key–value heads = query heads the formula reduces to 4d² per layer (Llama 2 7B).</t>
  </si>
  <si>
    <t xml:space="preserve">Section 4.8 follows Llama 3 8B through one forward pass using the same counts. These formulas assume d_k = d ÷ h; where config.json gives another head_dim (Qwen3-32B: 128, not 5,120 ÷ 64 = 80), use the Forward Pass sheet of Chapter 4's workbook.</t>
  </si>
  <si>
    <t xml:space="preserve">Inference and Training Memory (Section 2.5.4, Worked Example 2.5)</t>
  </si>
  <si>
    <t xml:space="preserve">Parameters N</t>
  </si>
  <si>
    <t xml:space="preserve">Inference GPU memory (GB): workstation GPU</t>
  </si>
  <si>
    <t xml:space="preserve">Training GPU memory per device (GB): H100</t>
  </si>
  <si>
    <t xml:space="preserve">Larger training GPU memory (GB): H200 of the Rack (Table P.3)</t>
  </si>
  <si>
    <t xml:space="preserve">Larger model for comparison: parameters</t>
  </si>
  <si>
    <t xml:space="preserve">Inference: weight format</t>
  </si>
  <si>
    <t xml:space="preserve">Bits per weight q</t>
  </si>
  <si>
    <t xml:space="preserve">Weights = N·q/8 (GB)</t>
  </si>
  <si>
    <t xml:space="preserve">Fits on the inference GPU?</t>
  </si>
  <si>
    <t xml:space="preserve">BF16 / FP16</t>
  </si>
  <si>
    <t xml:space="preserve">FP8</t>
  </si>
  <si>
    <t xml:space="preserve">4.5-bit format (GGUF Q4_0 blocks, NVFP4)</t>
  </si>
  <si>
    <t xml:space="preserve">MXFP4</t>
  </si>
  <si>
    <t xml:space="preserve">GGUF Q4_K_M, whole-file average (Table 14.1)</t>
  </si>
  <si>
    <t xml:space="preserve">Training item (mixed-precision AdamW, Table 2.2)</t>
  </si>
  <si>
    <t xml:space="preserve">Bytes per parameter</t>
  </si>
  <si>
    <t xml:space="preserve">GB</t>
  </si>
  <si>
    <t xml:space="preserve">Weights BF16</t>
  </si>
  <si>
    <t xml:space="preserve">Gradients BF16</t>
  </si>
  <si>
    <t xml:space="preserve">Master weights FP32</t>
  </si>
  <si>
    <t xml:space="preserve">Adam m FP32</t>
  </si>
  <si>
    <t xml:space="preserve">Adam v FP32</t>
  </si>
  <si>
    <t xml:space="preserve">Total (before activations)</t>
  </si>
  <si>
    <t xml:space="preserve">Minimum training GPUs (B5) just for these states</t>
  </si>
  <si>
    <t xml:space="preserve">Left for activations on one larger GPU (B6), GB</t>
  </si>
  <si>
    <t xml:space="preserve">Same states for the larger model (B7), TB</t>
  </si>
  <si>
    <t xml:space="preserve">Defaults reproduce Worked Example 2.5: 14 GB of BF16 weights fit a 24 GB workstation GPU; training needs 112 GB, more than one 80 GB H100; a 141 GB H200 holds the states with 29 GB left for activations; a 70B model needs 1.12 TB. Worked Example 1.4 uses the 14 GB and ≈ 4 GB rows.</t>
  </si>
  <si>
    <t xml:space="preserve">Activations, the key–value cache (Section 4.6.3) and framework overheads come on top. Sharding (ZeRO, Section 10.4.1) spreads the training states across GPUs; LoRA avoids most of them (Chapter 12).</t>
  </si>
  <si>
    <t xml:space="preserve">Prefill and Decode on the Roofline (Section 2.5.5, Figure 2.7)</t>
  </si>
  <si>
    <t xml:space="preserve">GPU peak compute (TFLOP/s, dense BF16)</t>
  </si>
  <si>
    <t xml:space="preserve">Effect of batching on decode (same model and GPU)</t>
  </si>
  <si>
    <t xml:space="preserve">GPU memory bandwidth BW (TB/s)</t>
  </si>
  <si>
    <t xml:space="preserve">Batch B</t>
  </si>
  <si>
    <t xml:space="preserve">Intensity (FLOPs/byte)</t>
  </si>
  <si>
    <t xml:space="preserve">Step time (ms)</t>
  </si>
  <si>
    <t xml:space="preserve">Tokens/s per sequence</t>
  </si>
  <si>
    <t xml:space="preserve">Aggregate tokens/s</t>
  </si>
  <si>
    <t xml:space="preserve">Bound</t>
  </si>
  <si>
    <t xml:space="preserve">Bytes per parameter (q ÷ 8)</t>
  </si>
  <si>
    <t xml:space="preserve">Prompt length (tokens)</t>
  </si>
  <si>
    <t xml:space="preserve">Achieved fraction of peak compute in prefill</t>
  </si>
  <si>
    <t xml:space="preserve">Concurrent sequences in decode batch B</t>
  </si>
  <si>
    <t xml:space="preserve">GPU balance point = peak ÷ BW (FLOPs per byte)</t>
  </si>
  <si>
    <t xml:space="preserve">Weight bytes read per pass = N × bytes</t>
  </si>
  <si>
    <t xml:space="preserve">Prefill (whole prompt in one pass)</t>
  </si>
  <si>
    <t xml:space="preserve">Value</t>
  </si>
  <si>
    <t xml:space="preserve">FLOPs = 2·N·prompt</t>
  </si>
  <si>
    <t xml:space="preserve">Arithmetic intensity (FLOPs/byte)</t>
  </si>
  <si>
    <t xml:space="preserve">Prefill time (s) at the achieved fraction of peak</t>
  </si>
  <si>
    <t xml:space="preserve">Decode (one token per sequence per step)</t>
  </si>
  <si>
    <t xml:space="preserve">FLOPs per step = 2·N·B</t>
  </si>
  <si>
    <t xml:space="preserve">Step time (s) = max(bytes ÷ BW, FLOPs ÷ peak)</t>
  </si>
  <si>
    <t xml:space="preserve">Aggregate tokens/s (all sequences)</t>
  </si>
  <si>
    <t xml:space="preserve">The Rack's H200 (Table P.3)</t>
  </si>
  <si>
    <t xml:space="preserve">H200 memory bandwidth (TB/s); same peak compute as the H100</t>
  </si>
  <si>
    <t xml:space="preserve">H200 balance point = peak ÷ BW (FLOPs per byte)</t>
  </si>
  <si>
    <t xml:space="preserve">Model size in memory (GB): the ≈ 4 GB 7B model of Worked Example 1.4</t>
  </si>
  <si>
    <t xml:space="preserve">Decode ceilings of Worked Example 1.4: tokens/s ≲ BW ÷ model size</t>
  </si>
  <si>
    <t xml:space="preserve">Memory bandwidth (GB/s)</t>
  </si>
  <si>
    <t xml:space="preserve">Decode ceiling (tokens/s)</t>
  </si>
  <si>
    <t xml:space="preserve">Older laptop, dual-channel DDR4</t>
  </si>
  <si>
    <t xml:space="preserve">2025–2026 laptop, LPDDR5X (lower end)</t>
  </si>
  <si>
    <t xml:space="preserve">2025–2026 laptop, LPDDR5X (upper end)</t>
  </si>
  <si>
    <t xml:space="preserve">High-end workstation GPU</t>
  </si>
  <si>
    <t xml:space="preserve">An idealized roofline: it ignores the reading of the key–value cache at every decode step (Section 4.6.3), attention and kernel overheads (Chapters 13 and 15), which lower real throughput, especially at large batch sizes and long contexts.</t>
  </si>
  <si>
    <t xml:space="preserve">With the defaults: balance ≈ 295 FLOPs/byte (≈ 206 on the H200); prefill of 2,000 tokens ≈ 0.06 s; decode ≈ 1 FLOP/byte and ≈ 240 tokens/s; batching reaches the compute limit near B ≈ 295.</t>
  </si>
  <si>
    <t xml:space="preserve">Worked Example 1.4 rounds the 7B model at 4.5 bits (3.9 GB) to 4 GB, giving ceilings of 12.5, 30–34 and 250 tokens/s; real systems reach perhaps 50–80% of these ceilings.</t>
  </si>
</sst>
</file>

<file path=xl/styles.xml><?xml version="1.0" encoding="utf-8"?>
<styleSheet xmlns="http://schemas.openxmlformats.org/spreadsheetml/2006/main">
  <numFmts count="18">
    <numFmt numFmtId="164" formatCode="General"/>
    <numFmt numFmtId="165" formatCode="0.00"/>
    <numFmt numFmtId="166" formatCode="0.000"/>
    <numFmt numFmtId="167" formatCode="0.0"/>
    <numFmt numFmtId="168" formatCode="0.0000"/>
    <numFmt numFmtId="169" formatCode="#,##0.########"/>
    <numFmt numFmtId="170" formatCode="0.00E+00"/>
    <numFmt numFmtId="171" formatCode="0.000000"/>
    <numFmt numFmtId="172" formatCode="0"/>
    <numFmt numFmtId="173" formatCode="0.0000000"/>
    <numFmt numFmtId="174" formatCode="#,##0"/>
    <numFmt numFmtId="175" formatCode="#,##0.###"/>
    <numFmt numFmtId="176" formatCode="0.000E+00"/>
    <numFmt numFmtId="177" formatCode="#,##0.000"/>
    <numFmt numFmtId="178" formatCode="0.0%"/>
    <numFmt numFmtId="179" formatCode="#,##0.0"/>
    <numFmt numFmtId="180" formatCode="#,##0.00"/>
    <numFmt numFmtId="181" formatCode="0.00000"/>
  </numFmts>
  <fonts count="13">
    <font>
      <sz val="11"/>
      <color theme="1"/>
      <name val="Calibri"/>
      <family val="2"/>
      <charset val="1"/>
    </font>
    <font>
      <sz val="10"/>
      <name val="Arial"/>
      <family val="0"/>
    </font>
    <font>
      <sz val="10"/>
      <name val="Arial"/>
      <family val="0"/>
    </font>
    <font>
      <sz val="10"/>
      <name val="Arial"/>
      <family val="0"/>
    </font>
    <font>
      <b val="true"/>
      <sz val="14"/>
      <color rgb="FF8A6410"/>
      <name val="Arial"/>
      <family val="0"/>
      <charset val="1"/>
    </font>
    <font>
      <sz val="9"/>
      <color rgb="FF595959"/>
      <name val="Arial"/>
      <family val="0"/>
      <charset val="1"/>
    </font>
    <font>
      <sz val="11"/>
      <name val="Cambria"/>
      <family val="0"/>
      <charset val="1"/>
    </font>
    <font>
      <b val="true"/>
      <sz val="10"/>
      <name val="Arial"/>
      <family val="0"/>
      <charset val="1"/>
    </font>
    <font>
      <sz val="10"/>
      <name val="Arial"/>
      <family val="0"/>
      <charset val="1"/>
    </font>
    <font>
      <sz val="10"/>
      <color rgb="FF595959"/>
      <name val="Arial"/>
      <family val="0"/>
      <charset val="1"/>
    </font>
    <font>
      <b val="true"/>
      <sz val="13"/>
      <color rgb="FF8A6410"/>
      <name val="Arial"/>
      <family val="0"/>
      <charset val="1"/>
    </font>
    <font>
      <sz val="10"/>
      <color rgb="FF0000FF"/>
      <name val="Arial"/>
      <family val="0"/>
      <charset val="1"/>
    </font>
    <font>
      <i val="true"/>
      <sz val="9"/>
      <color rgb="FF595959"/>
      <name val="Arial"/>
      <family val="0"/>
      <charset val="1"/>
    </font>
  </fonts>
  <fills count="4">
    <fill>
      <patternFill patternType="none"/>
    </fill>
    <fill>
      <patternFill patternType="gray125"/>
    </fill>
    <fill>
      <patternFill patternType="solid">
        <fgColor rgb="FFF7EFDD"/>
        <bgColor rgb="FFFFF9E6"/>
      </patternFill>
    </fill>
    <fill>
      <patternFill patternType="solid">
        <fgColor rgb="FFFFF9E6"/>
        <bgColor rgb="FFF7EFD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11" fillId="3" borderId="1" xfId="0" applyFont="true" applyBorder="true" applyAlignment="tru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general" vertical="bottom" textRotation="0" wrapText="false" indent="0" shrinkToFit="false"/>
      <protection locked="true" hidden="false"/>
    </xf>
    <xf numFmtId="166" fontId="11" fillId="3"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general" vertical="bottom" textRotation="0" wrapText="false" indent="0" shrinkToFit="false"/>
      <protection locked="true" hidden="false"/>
    </xf>
    <xf numFmtId="169" fontId="11" fillId="3" borderId="1" xfId="0" applyFont="true" applyBorder="true" applyAlignment="true" applyProtection="false">
      <alignment horizontal="general" vertical="bottom" textRotation="0" wrapText="false" indent="0" shrinkToFit="false"/>
      <protection locked="true" hidden="false"/>
    </xf>
    <xf numFmtId="170" fontId="11" fillId="3"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2" fontId="11" fillId="3" borderId="1" xfId="0" applyFont="true" applyBorder="true" applyAlignment="true" applyProtection="false">
      <alignment horizontal="general" vertical="bottom" textRotation="0" wrapText="false" indent="0" shrinkToFit="false"/>
      <protection locked="true" hidden="false"/>
    </xf>
    <xf numFmtId="170" fontId="8" fillId="0"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74" fontId="11" fillId="3" borderId="1" xfId="0" applyFont="true" applyBorder="true" applyAlignment="true" applyProtection="false">
      <alignment horizontal="general" vertical="bottom" textRotation="0" wrapText="false" indent="0" shrinkToFit="false"/>
      <protection locked="true" hidden="false"/>
    </xf>
    <xf numFmtId="175" fontId="8" fillId="0" borderId="1" xfId="0" applyFont="true" applyBorder="true" applyAlignment="true" applyProtection="false">
      <alignment horizontal="general" vertical="bottom" textRotation="0" wrapText="false" indent="0" shrinkToFit="false"/>
      <protection locked="true" hidden="false"/>
    </xf>
    <xf numFmtId="176"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74" fontId="8" fillId="0" borderId="1" xfId="0" applyFont="true" applyBorder="true" applyAlignment="true" applyProtection="false">
      <alignment horizontal="general" vertical="bottom" textRotation="0" wrapText="false" indent="0" shrinkToFit="false"/>
      <protection locked="true" hidden="false"/>
    </xf>
    <xf numFmtId="177" fontId="8" fillId="0" borderId="1" xfId="0" applyFont="true" applyBorder="true" applyAlignment="true" applyProtection="false">
      <alignment horizontal="general" vertical="bottom" textRotation="0" wrapText="false" indent="0" shrinkToFit="false"/>
      <protection locked="true" hidden="false"/>
    </xf>
    <xf numFmtId="174" fontId="7" fillId="0" borderId="1" xfId="0" applyFont="true" applyBorder="true" applyAlignment="true" applyProtection="false">
      <alignment horizontal="general" vertical="bottom" textRotation="0" wrapText="false" indent="0" shrinkToFit="false"/>
      <protection locked="true" hidden="false"/>
    </xf>
    <xf numFmtId="178" fontId="8" fillId="0" borderId="1" xfId="0" applyFont="true" applyBorder="true" applyAlignment="true" applyProtection="false">
      <alignment horizontal="general" vertical="bottom" textRotation="0" wrapText="false" indent="0" shrinkToFit="false"/>
      <protection locked="true" hidden="false"/>
    </xf>
    <xf numFmtId="179" fontId="8" fillId="0" borderId="1" xfId="0" applyFont="true" applyBorder="true" applyAlignment="true" applyProtection="false">
      <alignment horizontal="general" vertical="bottom"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9" fontId="7" fillId="0" borderId="1" xfId="0" applyFont="true" applyBorder="true" applyAlignment="true" applyProtection="false">
      <alignment horizontal="general" vertical="bottom" textRotation="0" wrapText="false" indent="0" shrinkToFit="false"/>
      <protection locked="true" hidden="false"/>
    </xf>
    <xf numFmtId="180" fontId="11" fillId="3" borderId="1" xfId="0" applyFont="true" applyBorder="true" applyAlignment="true" applyProtection="false">
      <alignment horizontal="general" vertical="bottom" textRotation="0" wrapText="false" indent="0" shrinkToFit="false"/>
      <protection locked="true" hidden="false"/>
    </xf>
    <xf numFmtId="181"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9E6"/>
      <rgbColor rgb="FFFF0000"/>
      <rgbColor rgb="FF00FF00"/>
      <rgbColor rgb="FF0000FF"/>
      <rgbColor rgb="FFFFFF00"/>
      <rgbColor rgb="FFFF00FF"/>
      <rgbColor rgb="FF00FFFF"/>
      <rgbColor rgb="FF800000"/>
      <rgbColor rgb="FF008000"/>
      <rgbColor rgb="FF000080"/>
      <rgbColor rgb="FF8A6410"/>
      <rgbColor rgb="FF800080"/>
      <rgbColor rgb="FF008080"/>
      <rgbColor rgb="FFBFBFBF"/>
      <rgbColor rgb="FF808080"/>
      <rgbColor rgb="FF9999FF"/>
      <rgbColor rgb="FF993366"/>
      <rgbColor rgb="FFF7EF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0" width="72"/>
    <col collapsed="false" customWidth="true" hidden="false" outlineLevel="0" max="3" min="3" style="0" width="40"/>
  </cols>
  <sheetData>
    <row r="1" customFormat="false" ht="15.75" hidden="false" customHeight="true" outlineLevel="0" collapsed="false">
      <c r="A1" s="2" t="s">
        <v>0</v>
      </c>
    </row>
    <row r="2" customFormat="false" ht="30" hidden="false" customHeight="true" outlineLevel="0" collapsed="false">
      <c r="A2" s="3" t="s">
        <v>1</v>
      </c>
      <c r="B2" s="3"/>
      <c r="C2" s="3"/>
    </row>
    <row r="3" customFormat="false" ht="15" hidden="false" customHeight="true" outlineLevel="0" collapsed="false">
      <c r="A3" s="4"/>
    </row>
    <row r="4" customFormat="false" ht="15" hidden="false" customHeight="true" outlineLevel="0" collapsed="false">
      <c r="A4" s="5" t="s">
        <v>2</v>
      </c>
      <c r="B4" s="5" t="s">
        <v>3</v>
      </c>
      <c r="C4" s="5" t="s">
        <v>4</v>
      </c>
    </row>
    <row r="5" customFormat="false" ht="30" hidden="false" customHeight="true" outlineLevel="0" collapsed="false">
      <c r="A5" s="6" t="s">
        <v>5</v>
      </c>
      <c r="B5" s="7" t="s">
        <v>6</v>
      </c>
      <c r="C5" s="7" t="s">
        <v>7</v>
      </c>
    </row>
    <row r="6" customFormat="false" ht="30" hidden="false" customHeight="true" outlineLevel="0" collapsed="false">
      <c r="A6" s="6" t="s">
        <v>8</v>
      </c>
      <c r="B6" s="7" t="s">
        <v>9</v>
      </c>
      <c r="C6" s="7" t="s">
        <v>10</v>
      </c>
    </row>
    <row r="7" customFormat="false" ht="30" hidden="false" customHeight="true" outlineLevel="0" collapsed="false">
      <c r="A7" s="6" t="s">
        <v>11</v>
      </c>
      <c r="B7" s="7" t="s">
        <v>12</v>
      </c>
      <c r="C7" s="7" t="s">
        <v>13</v>
      </c>
    </row>
    <row r="8" customFormat="false" ht="30" hidden="false" customHeight="true" outlineLevel="0" collapsed="false">
      <c r="A8" s="6" t="s">
        <v>14</v>
      </c>
      <c r="B8" s="7" t="s">
        <v>15</v>
      </c>
      <c r="C8" s="7" t="s">
        <v>16</v>
      </c>
    </row>
    <row r="9" customFormat="false" ht="30" hidden="false" customHeight="true" outlineLevel="0" collapsed="false">
      <c r="A9" s="6" t="s">
        <v>17</v>
      </c>
      <c r="B9" s="7" t="s">
        <v>18</v>
      </c>
      <c r="C9" s="7" t="s">
        <v>19</v>
      </c>
    </row>
    <row r="10" customFormat="false" ht="30" hidden="false" customHeight="true" outlineLevel="0" collapsed="false">
      <c r="A10" s="6" t="s">
        <v>20</v>
      </c>
      <c r="B10" s="7" t="s">
        <v>21</v>
      </c>
      <c r="C10" s="7" t="s">
        <v>22</v>
      </c>
    </row>
    <row r="11" customFormat="false" ht="45" hidden="false" customHeight="true" outlineLevel="0" collapsed="false">
      <c r="A11" s="6" t="s">
        <v>23</v>
      </c>
      <c r="B11" s="7" t="s">
        <v>24</v>
      </c>
      <c r="C11" s="7" t="s">
        <v>25</v>
      </c>
    </row>
    <row r="12" customFormat="false" ht="15" hidden="false" customHeight="true" outlineLevel="0" collapsed="false">
      <c r="A12" s="4"/>
    </row>
    <row r="13" customFormat="false" ht="15" hidden="false" customHeight="true" outlineLevel="0" collapsed="false">
      <c r="A13" s="8" t="s">
        <v>26</v>
      </c>
    </row>
    <row r="14" customFormat="false" ht="15" hidden="false" customHeight="true" outlineLevel="0" collapsed="false">
      <c r="A14" s="9" t="s">
        <v>27</v>
      </c>
      <c r="B14" s="9"/>
      <c r="C14" s="9"/>
    </row>
    <row r="15" customFormat="false" ht="30" hidden="false" customHeight="true" outlineLevel="0" collapsed="false">
      <c r="A15" s="9" t="s">
        <v>28</v>
      </c>
      <c r="B15" s="9"/>
      <c r="C15" s="9"/>
    </row>
    <row r="16" customFormat="false" ht="30" hidden="false" customHeight="true" outlineLevel="0" collapsed="false">
      <c r="A16" s="9" t="s">
        <v>29</v>
      </c>
      <c r="B16" s="9"/>
      <c r="C16" s="9"/>
    </row>
    <row r="17" customFormat="false" ht="30" hidden="false" customHeight="true" outlineLevel="0" collapsed="false">
      <c r="A17" s="9" t="s">
        <v>30</v>
      </c>
      <c r="B17" s="9"/>
      <c r="C17" s="9"/>
    </row>
    <row r="18" customFormat="false" ht="15" hidden="false" customHeight="true" outlineLevel="0" collapsed="false">
      <c r="A18" s="9" t="s">
        <v>31</v>
      </c>
      <c r="B18" s="9"/>
      <c r="C18" s="9"/>
    </row>
    <row r="19" customFormat="false" ht="15" hidden="false" customHeight="true" outlineLevel="0" collapsed="false">
      <c r="A19" s="4"/>
    </row>
  </sheetData>
  <mergeCells count="6">
    <mergeCell ref="A2:C2"/>
    <mergeCell ref="A14:C14"/>
    <mergeCell ref="A15:C15"/>
    <mergeCell ref="A16:C16"/>
    <mergeCell ref="A17:C17"/>
    <mergeCell ref="A18:C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s>
  <sheetData>
    <row r="1" customFormat="false" ht="15.75" hidden="false" customHeight="true" outlineLevel="0" collapsed="false">
      <c r="A1" s="10" t="s">
        <v>32</v>
      </c>
    </row>
    <row r="3" customFormat="false" ht="15" hidden="false" customHeight="true" outlineLevel="0" collapsed="false">
      <c r="A3" s="11"/>
      <c r="B3" s="11" t="s">
        <v>33</v>
      </c>
      <c r="C3" s="11" t="s">
        <v>34</v>
      </c>
      <c r="D3" s="11" t="s">
        <v>35</v>
      </c>
    </row>
    <row r="4" customFormat="false" ht="15" hidden="false" customHeight="true" outlineLevel="0" collapsed="false">
      <c r="A4" s="12" t="s">
        <v>36</v>
      </c>
      <c r="B4" s="13" t="n">
        <v>0.5</v>
      </c>
      <c r="C4" s="13" t="n">
        <v>0.8</v>
      </c>
      <c r="D4" s="14" t="n">
        <f aca="false">B4*C4</f>
        <v>0.4</v>
      </c>
    </row>
    <row r="5" customFormat="false" ht="15" hidden="false" customHeight="true" outlineLevel="0" collapsed="false">
      <c r="A5" s="12" t="s">
        <v>37</v>
      </c>
      <c r="B5" s="13" t="n">
        <v>-1</v>
      </c>
      <c r="C5" s="13" t="n">
        <v>0.3</v>
      </c>
      <c r="D5" s="14" t="n">
        <f aca="false">B5*C5</f>
        <v>-0.3</v>
      </c>
    </row>
    <row r="6" customFormat="false" ht="15" hidden="false" customHeight="true" outlineLevel="0" collapsed="false">
      <c r="A6" s="12" t="s">
        <v>38</v>
      </c>
      <c r="B6" s="13" t="n">
        <v>2</v>
      </c>
      <c r="C6" s="13" t="n">
        <v>-0.4</v>
      </c>
      <c r="D6" s="14" t="n">
        <f aca="false">B6*C6</f>
        <v>-0.8</v>
      </c>
    </row>
    <row r="7" customFormat="false" ht="15" hidden="false" customHeight="true" outlineLevel="0" collapsed="false">
      <c r="A7" s="12" t="s">
        <v>39</v>
      </c>
      <c r="D7" s="15" t="n">
        <v>0.1</v>
      </c>
    </row>
    <row r="8" customFormat="false" ht="15" hidden="false" customHeight="true" outlineLevel="0" collapsed="false">
      <c r="A8" s="16" t="s">
        <v>40</v>
      </c>
      <c r="D8" s="17" t="n">
        <f aca="false">SUM(D4:D7)</f>
        <v>-0.6</v>
      </c>
    </row>
    <row r="9" customFormat="false" ht="15" hidden="false" customHeight="true" outlineLevel="0" collapsed="false">
      <c r="A9" s="12" t="s">
        <v>41</v>
      </c>
      <c r="D9" s="14" t="n">
        <f aca="false">MAX(0,D8)</f>
        <v>0</v>
      </c>
    </row>
    <row r="10" customFormat="false" ht="15" hidden="false" customHeight="true" outlineLevel="0" collapsed="false">
      <c r="A10" s="12" t="s">
        <v>42</v>
      </c>
      <c r="B10" s="12" t="s">
        <v>43</v>
      </c>
      <c r="C10" s="14" t="n">
        <f aca="false">NORMSDIST(D8)</f>
        <v>0.274253117750074</v>
      </c>
      <c r="D10" s="14" t="n">
        <f aca="false">D8*NORMSDIST(D8)</f>
        <v>-0.164551870650044</v>
      </c>
    </row>
    <row r="11" customFormat="false" ht="15" hidden="false" customHeight="true" outlineLevel="0" collapsed="false">
      <c r="A11" s="12" t="s">
        <v>44</v>
      </c>
      <c r="B11" s="12" t="s">
        <v>45</v>
      </c>
      <c r="C11" s="14" t="n">
        <f aca="false">1/(1+EXP(-D8))</f>
        <v>0.354343693774205</v>
      </c>
      <c r="D11" s="14" t="n">
        <f aca="false">D8/(1+EXP(-D8))</f>
        <v>-0.212606216264523</v>
      </c>
    </row>
    <row r="13" customFormat="false" ht="15" hidden="false" customHeight="true" outlineLevel="0" collapsed="false">
      <c r="A13" s="11" t="s">
        <v>46</v>
      </c>
      <c r="B13" s="11" t="s">
        <v>47</v>
      </c>
      <c r="C13" s="11" t="s">
        <v>48</v>
      </c>
      <c r="D13" s="11" t="s">
        <v>49</v>
      </c>
    </row>
    <row r="14" customFormat="false" ht="15" hidden="false" customHeight="true" outlineLevel="0" collapsed="false">
      <c r="A14" s="18" t="n">
        <v>-4</v>
      </c>
      <c r="B14" s="14" t="n">
        <f aca="false">MAX(0,A14)</f>
        <v>0</v>
      </c>
      <c r="C14" s="14" t="n">
        <f aca="false">A14*NORMSDIST(A14)</f>
        <v>-0.00012668496733248</v>
      </c>
      <c r="D14" s="14" t="n">
        <f aca="false">A14/(1+EXP(-A14))</f>
        <v>-0.0719448398483662</v>
      </c>
    </row>
    <row r="15" customFormat="false" ht="15" hidden="false" customHeight="true" outlineLevel="0" collapsed="false">
      <c r="A15" s="18" t="n">
        <v>-3.5</v>
      </c>
      <c r="B15" s="14" t="n">
        <f aca="false">MAX(0,A15)</f>
        <v>0</v>
      </c>
      <c r="C15" s="14" t="n">
        <f aca="false">A15*NORMSDIST(A15)</f>
        <v>-0.000814201776624338</v>
      </c>
      <c r="D15" s="14" t="n">
        <f aca="false">A15/(1+EXP(-A15))</f>
        <v>-0.102592807629747</v>
      </c>
    </row>
    <row r="16" customFormat="false" ht="15" hidden="false" customHeight="true" outlineLevel="0" collapsed="false">
      <c r="A16" s="18" t="n">
        <v>-3</v>
      </c>
      <c r="B16" s="14" t="n">
        <f aca="false">MAX(0,A16)</f>
        <v>0</v>
      </c>
      <c r="C16" s="14" t="n">
        <f aca="false">A16*NORMSDIST(A16)</f>
        <v>-0.00404969409489028</v>
      </c>
      <c r="D16" s="14" t="n">
        <f aca="false">A16/(1+EXP(-A16))</f>
        <v>-0.1422776195327</v>
      </c>
    </row>
    <row r="17" customFormat="false" ht="15" hidden="false" customHeight="true" outlineLevel="0" collapsed="false">
      <c r="A17" s="18" t="n">
        <v>-2.5</v>
      </c>
      <c r="B17" s="14" t="n">
        <f aca="false">MAX(0,A17)</f>
        <v>0</v>
      </c>
      <c r="C17" s="14" t="n">
        <f aca="false">A17*NORMSDIST(A17)</f>
        <v>-0.0155241633144403</v>
      </c>
      <c r="D17" s="14" t="n">
        <f aca="false">A17/(1+EXP(-A17))</f>
        <v>-0.189645450053109</v>
      </c>
    </row>
    <row r="18" customFormat="false" ht="15" hidden="false" customHeight="true" outlineLevel="0" collapsed="false">
      <c r="A18" s="18" t="n">
        <v>-2</v>
      </c>
      <c r="B18" s="14" t="n">
        <f aca="false">MAX(0,A18)</f>
        <v>0</v>
      </c>
      <c r="C18" s="14" t="n">
        <f aca="false">A18*NORMSDIST(A18)</f>
        <v>-0.0455002638963584</v>
      </c>
      <c r="D18" s="14" t="n">
        <f aca="false">A18/(1+EXP(-A18))</f>
        <v>-0.238405844044235</v>
      </c>
    </row>
    <row r="19" customFormat="false" ht="15" hidden="false" customHeight="true" outlineLevel="0" collapsed="false">
      <c r="A19" s="18" t="n">
        <v>-1.5</v>
      </c>
      <c r="B19" s="14" t="n">
        <f aca="false">MAX(0,A19)</f>
        <v>0</v>
      </c>
      <c r="C19" s="14" t="n">
        <f aca="false">A19*NORMSDIST(A19)</f>
        <v>-0.100210801903287</v>
      </c>
      <c r="D19" s="14" t="n">
        <f aca="false">A19/(1+EXP(-A19))</f>
        <v>-0.273638285709535</v>
      </c>
    </row>
    <row r="20" customFormat="false" ht="15" hidden="false" customHeight="true" outlineLevel="0" collapsed="false">
      <c r="A20" s="18" t="n">
        <v>-1</v>
      </c>
      <c r="B20" s="14" t="n">
        <f aca="false">MAX(0,A20)</f>
        <v>0</v>
      </c>
      <c r="C20" s="14" t="n">
        <f aca="false">A20*NORMSDIST(A20)</f>
        <v>-0.158655253931457</v>
      </c>
      <c r="D20" s="14" t="n">
        <f aca="false">A20/(1+EXP(-A20))</f>
        <v>-0.268941421369995</v>
      </c>
    </row>
    <row r="21" customFormat="false" ht="15" hidden="false" customHeight="true" outlineLevel="0" collapsed="false">
      <c r="A21" s="18" t="n">
        <v>-0.5</v>
      </c>
      <c r="B21" s="14" t="n">
        <f aca="false">MAX(0,A21)</f>
        <v>0</v>
      </c>
      <c r="C21" s="14" t="n">
        <f aca="false">A21*NORMSDIST(A21)</f>
        <v>-0.154268769362993</v>
      </c>
      <c r="D21" s="14" t="n">
        <f aca="false">A21/(1+EXP(-A21))</f>
        <v>-0.188770334399073</v>
      </c>
    </row>
    <row r="22" customFormat="false" ht="15" hidden="false" customHeight="true" outlineLevel="0" collapsed="false">
      <c r="A22" s="18" t="n">
        <v>0</v>
      </c>
      <c r="B22" s="14" t="n">
        <f aca="false">MAX(0,A22)</f>
        <v>0</v>
      </c>
      <c r="C22" s="14" t="n">
        <f aca="false">A22*NORMSDIST(A22)</f>
        <v>0</v>
      </c>
      <c r="D22" s="14" t="n">
        <f aca="false">A22/(1+EXP(-A22))</f>
        <v>0</v>
      </c>
    </row>
    <row r="23" customFormat="false" ht="15" hidden="false" customHeight="true" outlineLevel="0" collapsed="false">
      <c r="A23" s="18" t="n">
        <v>0.5</v>
      </c>
      <c r="B23" s="14" t="n">
        <f aca="false">MAX(0,A23)</f>
        <v>0.5</v>
      </c>
      <c r="C23" s="14" t="n">
        <f aca="false">A23*NORMSDIST(A23)</f>
        <v>0.345731230637007</v>
      </c>
      <c r="D23" s="14" t="n">
        <f aca="false">A23/(1+EXP(-A23))</f>
        <v>0.311229665600927</v>
      </c>
    </row>
    <row r="24" customFormat="false" ht="15" hidden="false" customHeight="true" outlineLevel="0" collapsed="false">
      <c r="A24" s="18" t="n">
        <v>1</v>
      </c>
      <c r="B24" s="14" t="n">
        <f aca="false">MAX(0,A24)</f>
        <v>1</v>
      </c>
      <c r="C24" s="14" t="n">
        <f aca="false">A24*NORMSDIST(A24)</f>
        <v>0.841344746068543</v>
      </c>
      <c r="D24" s="14" t="n">
        <f aca="false">A24/(1+EXP(-A24))</f>
        <v>0.731058578630005</v>
      </c>
    </row>
    <row r="25" customFormat="false" ht="15" hidden="false" customHeight="true" outlineLevel="0" collapsed="false">
      <c r="A25" s="18" t="n">
        <v>1.5</v>
      </c>
      <c r="B25" s="14" t="n">
        <f aca="false">MAX(0,A25)</f>
        <v>1.5</v>
      </c>
      <c r="C25" s="14" t="n">
        <f aca="false">A25*NORMSDIST(A25)</f>
        <v>1.39978919809671</v>
      </c>
      <c r="D25" s="14" t="n">
        <f aca="false">A25/(1+EXP(-A25))</f>
        <v>1.22636171429047</v>
      </c>
    </row>
    <row r="26" customFormat="false" ht="15" hidden="false" customHeight="true" outlineLevel="0" collapsed="false">
      <c r="A26" s="18" t="n">
        <v>2</v>
      </c>
      <c r="B26" s="14" t="n">
        <f aca="false">MAX(0,A26)</f>
        <v>2</v>
      </c>
      <c r="C26" s="14" t="n">
        <f aca="false">A26*NORMSDIST(A26)</f>
        <v>1.95449973610364</v>
      </c>
      <c r="D26" s="14" t="n">
        <f aca="false">A26/(1+EXP(-A26))</f>
        <v>1.76159415595576</v>
      </c>
    </row>
    <row r="27" customFormat="false" ht="15" hidden="false" customHeight="true" outlineLevel="0" collapsed="false">
      <c r="A27" s="18" t="n">
        <v>2.5</v>
      </c>
      <c r="B27" s="14" t="n">
        <f aca="false">MAX(0,A27)</f>
        <v>2.5</v>
      </c>
      <c r="C27" s="14" t="n">
        <f aca="false">A27*NORMSDIST(A27)</f>
        <v>2.48447583668556</v>
      </c>
      <c r="D27" s="14" t="n">
        <f aca="false">A27/(1+EXP(-A27))</f>
        <v>2.31035454994689</v>
      </c>
    </row>
    <row r="28" customFormat="false" ht="15" hidden="false" customHeight="true" outlineLevel="0" collapsed="false">
      <c r="A28" s="18" t="n">
        <v>3</v>
      </c>
      <c r="B28" s="14" t="n">
        <f aca="false">MAX(0,A28)</f>
        <v>3</v>
      </c>
      <c r="C28" s="14" t="n">
        <f aca="false">A28*NORMSDIST(A28)</f>
        <v>2.99595030590511</v>
      </c>
      <c r="D28" s="14" t="n">
        <f aca="false">A28/(1+EXP(-A28))</f>
        <v>2.8577223804673</v>
      </c>
    </row>
    <row r="29" customFormat="false" ht="15" hidden="false" customHeight="true" outlineLevel="0" collapsed="false">
      <c r="A29" s="18" t="n">
        <v>3.5</v>
      </c>
      <c r="B29" s="14" t="n">
        <f aca="false">MAX(0,A29)</f>
        <v>3.5</v>
      </c>
      <c r="C29" s="14" t="n">
        <f aca="false">A29*NORMSDIST(A29)</f>
        <v>3.49918579822338</v>
      </c>
      <c r="D29" s="14" t="n">
        <f aca="false">A29/(1+EXP(-A29))</f>
        <v>3.39740719237025</v>
      </c>
    </row>
    <row r="30" customFormat="false" ht="15" hidden="false" customHeight="true" outlineLevel="0" collapsed="false">
      <c r="A30" s="18" t="n">
        <v>4</v>
      </c>
      <c r="B30" s="14" t="n">
        <f aca="false">MAX(0,A30)</f>
        <v>4</v>
      </c>
      <c r="C30" s="14" t="n">
        <f aca="false">A30*NORMSDIST(A30)</f>
        <v>3.99987331503267</v>
      </c>
      <c r="D30" s="14" t="n">
        <f aca="false">A30/(1+EXP(-A30))</f>
        <v>3.92805516015163</v>
      </c>
    </row>
    <row r="32" customFormat="false" ht="15" hidden="false" customHeight="true" outlineLevel="0" collapsed="false">
      <c r="A32" s="19" t="s">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3" min="2" style="1" width="10"/>
    <col collapsed="false" customWidth="true" hidden="false" outlineLevel="0" max="4" min="4" style="1" width="14"/>
    <col collapsed="false" customWidth="true" hidden="false" outlineLevel="0" max="6" min="5" style="1" width="18"/>
    <col collapsed="false" customWidth="true" hidden="false" outlineLevel="0" max="7" min="7" style="1" width="16"/>
    <col collapsed="false" customWidth="true" hidden="false" outlineLevel="0" max="8" min="8" style="1" width="3"/>
    <col collapsed="false" customWidth="true" hidden="false" outlineLevel="0" max="9" min="9" style="1" width="20"/>
    <col collapsed="false" customWidth="true" hidden="false" outlineLevel="0" max="13" min="10" style="1" width="10"/>
  </cols>
  <sheetData>
    <row r="1" customFormat="false" ht="15.75" hidden="false" customHeight="true" outlineLevel="0" collapsed="false">
      <c r="A1" s="10" t="s">
        <v>51</v>
      </c>
      <c r="I1" s="20" t="s">
        <v>52</v>
      </c>
    </row>
    <row r="3" customFormat="false" ht="15" hidden="false" customHeight="true" outlineLevel="0" collapsed="false">
      <c r="A3" s="12" t="s">
        <v>33</v>
      </c>
      <c r="B3" s="15" t="n">
        <v>2</v>
      </c>
    </row>
    <row r="4" customFormat="false" ht="15" hidden="false" customHeight="true" outlineLevel="0" collapsed="false">
      <c r="A4" s="12" t="s">
        <v>53</v>
      </c>
      <c r="B4" s="15" t="n">
        <v>3</v>
      </c>
    </row>
    <row r="5" customFormat="false" ht="15" hidden="false" customHeight="true" outlineLevel="0" collapsed="false">
      <c r="A5" s="12" t="s">
        <v>54</v>
      </c>
      <c r="B5" s="15" t="n">
        <v>0.5</v>
      </c>
    </row>
    <row r="6" customFormat="false" ht="15" hidden="false" customHeight="true" outlineLevel="0" collapsed="false">
      <c r="A6" s="12" t="s">
        <v>55</v>
      </c>
      <c r="B6" s="15" t="n">
        <v>0</v>
      </c>
    </row>
    <row r="7" customFormat="false" ht="15" hidden="false" customHeight="true" outlineLevel="0" collapsed="false">
      <c r="A7" s="12" t="s">
        <v>56</v>
      </c>
      <c r="B7" s="15" t="n">
        <v>0.1</v>
      </c>
    </row>
    <row r="8" customFormat="false" ht="15" hidden="false" customHeight="true" outlineLevel="0" collapsed="false">
      <c r="I8" s="16" t="s">
        <v>57</v>
      </c>
      <c r="J8" s="13" t="n">
        <v>0.05</v>
      </c>
      <c r="K8" s="13" t="n">
        <v>0.1</v>
      </c>
      <c r="L8" s="13" t="n">
        <v>0.35</v>
      </c>
      <c r="M8" s="13" t="n">
        <v>0.45</v>
      </c>
    </row>
    <row r="9" customFormat="false" ht="15" hidden="false" customHeight="true" outlineLevel="0" collapsed="false">
      <c r="A9" s="11" t="s">
        <v>58</v>
      </c>
      <c r="B9" s="11" t="s">
        <v>59</v>
      </c>
      <c r="C9" s="11" t="s">
        <v>60</v>
      </c>
      <c r="D9" s="11" t="s">
        <v>61</v>
      </c>
      <c r="E9" s="11" t="s">
        <v>62</v>
      </c>
      <c r="F9" s="11" t="s">
        <v>63</v>
      </c>
      <c r="G9" s="11" t="s">
        <v>64</v>
      </c>
      <c r="I9" s="11" t="s">
        <v>58</v>
      </c>
      <c r="J9" s="11" t="s">
        <v>65</v>
      </c>
      <c r="K9" s="11" t="s">
        <v>65</v>
      </c>
      <c r="L9" s="11" t="s">
        <v>65</v>
      </c>
      <c r="M9" s="11" t="s">
        <v>65</v>
      </c>
    </row>
    <row r="10" customFormat="false" ht="15" hidden="false" customHeight="true" outlineLevel="0" collapsed="false">
      <c r="A10" s="12" t="n">
        <v>0</v>
      </c>
      <c r="B10" s="21" t="n">
        <f aca="false">B5</f>
        <v>0.5</v>
      </c>
      <c r="C10" s="21" t="n">
        <f aca="false">B6</f>
        <v>0</v>
      </c>
      <c r="D10" s="21" t="n">
        <f aca="false">B10*$B$3+C10</f>
        <v>1</v>
      </c>
      <c r="E10" s="21" t="n">
        <f aca="false">0.5*(D10-$B$4)^2</f>
        <v>2</v>
      </c>
      <c r="F10" s="21" t="n">
        <f aca="false">(D10-$B$4)*$B$3</f>
        <v>-4</v>
      </c>
      <c r="G10" s="21" t="n">
        <f aca="false">(D10-$B$4)</f>
        <v>-2</v>
      </c>
      <c r="I10" s="12" t="n">
        <v>0</v>
      </c>
      <c r="J10" s="14" t="n">
        <f aca="false">$B$5*$B$3+$B$6</f>
        <v>1</v>
      </c>
      <c r="K10" s="14" t="n">
        <f aca="false">$B$5*$B$3+$B$6</f>
        <v>1</v>
      </c>
      <c r="L10" s="14" t="n">
        <f aca="false">$B$5*$B$3+$B$6</f>
        <v>1</v>
      </c>
      <c r="M10" s="14" t="n">
        <f aca="false">$B$5*$B$3+$B$6</f>
        <v>1</v>
      </c>
    </row>
    <row r="11" customFormat="false" ht="15" hidden="false" customHeight="true" outlineLevel="0" collapsed="false">
      <c r="A11" s="12" t="n">
        <v>1</v>
      </c>
      <c r="B11" s="21" t="n">
        <f aca="false">B10-$B$7*F10</f>
        <v>0.9</v>
      </c>
      <c r="C11" s="21" t="n">
        <f aca="false">C10-$B$7*G10</f>
        <v>0.2</v>
      </c>
      <c r="D11" s="21" t="n">
        <f aca="false">B11*$B$3+C11</f>
        <v>2</v>
      </c>
      <c r="E11" s="21" t="n">
        <f aca="false">0.5*(D11-$B$4)^2</f>
        <v>0.5</v>
      </c>
      <c r="F11" s="21" t="n">
        <f aca="false">(D11-$B$4)*$B$3</f>
        <v>-2</v>
      </c>
      <c r="G11" s="21" t="n">
        <f aca="false">(D11-$B$4)</f>
        <v>-1</v>
      </c>
      <c r="I11" s="12" t="n">
        <v>1</v>
      </c>
      <c r="J11" s="14" t="n">
        <f aca="false">J10-J$8*(J10-$B$4)*($B$3^2+1)</f>
        <v>1.5</v>
      </c>
      <c r="K11" s="14" t="n">
        <f aca="false">K10-K$8*(K10-$B$4)*($B$3^2+1)</f>
        <v>2</v>
      </c>
      <c r="L11" s="14" t="n">
        <f aca="false">L10-L$8*(L10-$B$4)*($B$3^2+1)</f>
        <v>4.5</v>
      </c>
      <c r="M11" s="14" t="n">
        <f aca="false">M10-M$8*(M10-$B$4)*($B$3^2+1)</f>
        <v>5.5</v>
      </c>
    </row>
    <row r="12" customFormat="false" ht="15" hidden="false" customHeight="true" outlineLevel="0" collapsed="false">
      <c r="A12" s="12" t="n">
        <v>2</v>
      </c>
      <c r="B12" s="21" t="n">
        <f aca="false">B11-$B$7*F11</f>
        <v>1.1</v>
      </c>
      <c r="C12" s="21" t="n">
        <f aca="false">C11-$B$7*G11</f>
        <v>0.3</v>
      </c>
      <c r="D12" s="21" t="n">
        <f aca="false">B12*$B$3+C12</f>
        <v>2.5</v>
      </c>
      <c r="E12" s="21" t="n">
        <f aca="false">0.5*(D12-$B$4)^2</f>
        <v>0.125</v>
      </c>
      <c r="F12" s="21" t="n">
        <f aca="false">(D12-$B$4)*$B$3</f>
        <v>-1</v>
      </c>
      <c r="G12" s="21" t="n">
        <f aca="false">(D12-$B$4)</f>
        <v>-0.5</v>
      </c>
      <c r="I12" s="12" t="n">
        <v>2</v>
      </c>
      <c r="J12" s="14" t="n">
        <f aca="false">J11-J$8*(J11-$B$4)*($B$3^2+1)</f>
        <v>1.875</v>
      </c>
      <c r="K12" s="14" t="n">
        <f aca="false">K11-K$8*(K11-$B$4)*($B$3^2+1)</f>
        <v>2.5</v>
      </c>
      <c r="L12" s="14" t="n">
        <f aca="false">L11-L$8*(L11-$B$4)*($B$3^2+1)</f>
        <v>1.875</v>
      </c>
      <c r="M12" s="14" t="n">
        <f aca="false">M11-M$8*(M11-$B$4)*($B$3^2+1)</f>
        <v>-0.125</v>
      </c>
    </row>
    <row r="13" customFormat="false" ht="15" hidden="false" customHeight="true" outlineLevel="0" collapsed="false">
      <c r="A13" s="12" t="n">
        <v>3</v>
      </c>
      <c r="B13" s="21" t="n">
        <f aca="false">B12-$B$7*F12</f>
        <v>1.2</v>
      </c>
      <c r="C13" s="21" t="n">
        <f aca="false">C12-$B$7*G12</f>
        <v>0.35</v>
      </c>
      <c r="D13" s="21" t="n">
        <f aca="false">B13*$B$3+C13</f>
        <v>2.75</v>
      </c>
      <c r="E13" s="21" t="n">
        <f aca="false">0.5*(D13-$B$4)^2</f>
        <v>0.0312499999999999</v>
      </c>
      <c r="F13" s="21" t="n">
        <f aca="false">(D13-$B$4)*$B$3</f>
        <v>-0.499999999999999</v>
      </c>
      <c r="G13" s="21" t="n">
        <f aca="false">(D13-$B$4)</f>
        <v>-0.25</v>
      </c>
      <c r="I13" s="12" t="n">
        <v>3</v>
      </c>
      <c r="J13" s="14" t="n">
        <f aca="false">J12-J$8*(J12-$B$4)*($B$3^2+1)</f>
        <v>2.15625</v>
      </c>
      <c r="K13" s="14" t="n">
        <f aca="false">K12-K$8*(K12-$B$4)*($B$3^2+1)</f>
        <v>2.75</v>
      </c>
      <c r="L13" s="14" t="n">
        <f aca="false">L12-L$8*(L12-$B$4)*($B$3^2+1)</f>
        <v>3.84375</v>
      </c>
      <c r="M13" s="14" t="n">
        <f aca="false">M12-M$8*(M12-$B$4)*($B$3^2+1)</f>
        <v>6.90625</v>
      </c>
    </row>
    <row r="14" customFormat="false" ht="15" hidden="false" customHeight="true" outlineLevel="0" collapsed="false">
      <c r="A14" s="12" t="n">
        <v>4</v>
      </c>
      <c r="B14" s="21" t="n">
        <f aca="false">B13-$B$7*F13</f>
        <v>1.25</v>
      </c>
      <c r="C14" s="21" t="n">
        <f aca="false">C13-$B$7*G13</f>
        <v>0.375</v>
      </c>
      <c r="D14" s="21" t="n">
        <f aca="false">B14*$B$3+C14</f>
        <v>2.875</v>
      </c>
      <c r="E14" s="21" t="n">
        <f aca="false">0.5*(D14-$B$4)^2</f>
        <v>0.0078125</v>
      </c>
      <c r="F14" s="21" t="n">
        <f aca="false">(D14-$B$4)*$B$3</f>
        <v>-0.25</v>
      </c>
      <c r="G14" s="21" t="n">
        <f aca="false">(D14-$B$4)</f>
        <v>-0.125</v>
      </c>
      <c r="I14" s="12" t="n">
        <v>4</v>
      </c>
      <c r="J14" s="14" t="n">
        <f aca="false">J13-J$8*(J13-$B$4)*($B$3^2+1)</f>
        <v>2.3671875</v>
      </c>
      <c r="K14" s="14" t="n">
        <f aca="false">K13-K$8*(K13-$B$4)*($B$3^2+1)</f>
        <v>2.875</v>
      </c>
      <c r="L14" s="14" t="n">
        <f aca="false">L13-L$8*(L13-$B$4)*($B$3^2+1)</f>
        <v>2.3671875</v>
      </c>
      <c r="M14" s="14" t="n">
        <f aca="false">M13-M$8*(M13-$B$4)*($B$3^2+1)</f>
        <v>-1.8828125</v>
      </c>
    </row>
    <row r="15" customFormat="false" ht="15" hidden="false" customHeight="true" outlineLevel="0" collapsed="false">
      <c r="A15" s="12" t="n">
        <v>5</v>
      </c>
      <c r="B15" s="21" t="n">
        <f aca="false">B14-$B$7*F14</f>
        <v>1.275</v>
      </c>
      <c r="C15" s="21" t="n">
        <f aca="false">C14-$B$7*G14</f>
        <v>0.3875</v>
      </c>
      <c r="D15" s="21" t="n">
        <f aca="false">B15*$B$3+C15</f>
        <v>2.9375</v>
      </c>
      <c r="E15" s="21" t="n">
        <f aca="false">0.5*(D15-$B$4)^2</f>
        <v>0.001953125</v>
      </c>
      <c r="F15" s="21" t="n">
        <f aca="false">(D15-$B$4)*$B$3</f>
        <v>-0.125</v>
      </c>
      <c r="G15" s="21" t="n">
        <f aca="false">(D15-$B$4)</f>
        <v>-0.0625</v>
      </c>
      <c r="I15" s="12" t="n">
        <v>5</v>
      </c>
      <c r="J15" s="14" t="n">
        <f aca="false">J14-J$8*(J14-$B$4)*($B$3^2+1)</f>
        <v>2.525390625</v>
      </c>
      <c r="K15" s="14" t="n">
        <f aca="false">K14-K$8*(K14-$B$4)*($B$3^2+1)</f>
        <v>2.9375</v>
      </c>
      <c r="L15" s="14" t="n">
        <f aca="false">L14-L$8*(L14-$B$4)*($B$3^2+1)</f>
        <v>3.474609375</v>
      </c>
      <c r="M15" s="14" t="n">
        <f aca="false">M14-M$8*(M14-$B$4)*($B$3^2+1)</f>
        <v>9.103515625</v>
      </c>
    </row>
    <row r="16" customFormat="false" ht="15" hidden="false" customHeight="true" outlineLevel="0" collapsed="false">
      <c r="A16" s="12" t="n">
        <v>6</v>
      </c>
      <c r="B16" s="21" t="n">
        <f aca="false">B15-$B$7*F15</f>
        <v>1.2875</v>
      </c>
      <c r="C16" s="21" t="n">
        <f aca="false">C15-$B$7*G15</f>
        <v>0.39375</v>
      </c>
      <c r="D16" s="21" t="n">
        <f aca="false">B16*$B$3+C16</f>
        <v>2.96875</v>
      </c>
      <c r="E16" s="21" t="n">
        <f aca="false">0.5*(D16-$B$4)^2</f>
        <v>0.000488281250000014</v>
      </c>
      <c r="F16" s="21" t="n">
        <f aca="false">(D16-$B$4)*$B$3</f>
        <v>-0.0625000000000009</v>
      </c>
      <c r="G16" s="21" t="n">
        <f aca="false">(D16-$B$4)</f>
        <v>-0.0312500000000004</v>
      </c>
      <c r="I16" s="12" t="n">
        <v>6</v>
      </c>
      <c r="J16" s="14" t="n">
        <f aca="false">J15-J$8*(J15-$B$4)*($B$3^2+1)</f>
        <v>2.64404296875</v>
      </c>
      <c r="K16" s="14" t="n">
        <f aca="false">K15-K$8*(K15-$B$4)*($B$3^2+1)</f>
        <v>2.96875</v>
      </c>
      <c r="L16" s="14" t="n">
        <f aca="false">L15-L$8*(L15-$B$4)*($B$3^2+1)</f>
        <v>2.64404296875</v>
      </c>
      <c r="M16" s="14" t="n">
        <f aca="false">M15-M$8*(M15-$B$4)*($B$3^2+1)</f>
        <v>-4.62939453125</v>
      </c>
    </row>
    <row r="17" customFormat="false" ht="15" hidden="false" customHeight="true" outlineLevel="0" collapsed="false">
      <c r="A17" s="12" t="n">
        <v>7</v>
      </c>
      <c r="B17" s="21" t="n">
        <f aca="false">B16-$B$7*F16</f>
        <v>1.29375</v>
      </c>
      <c r="C17" s="21" t="n">
        <f aca="false">C16-$B$7*G16</f>
        <v>0.396875</v>
      </c>
      <c r="D17" s="21" t="n">
        <f aca="false">B17*$B$3+C17</f>
        <v>2.984375</v>
      </c>
      <c r="E17" s="21" t="n">
        <f aca="false">0.5*(D17-$B$4)^2</f>
        <v>0.0001220703125</v>
      </c>
      <c r="F17" s="21" t="n">
        <f aca="false">(D17-$B$4)*$B$3</f>
        <v>-0.03125</v>
      </c>
      <c r="G17" s="21" t="n">
        <f aca="false">(D17-$B$4)</f>
        <v>-0.015625</v>
      </c>
      <c r="I17" s="12" t="n">
        <v>7</v>
      </c>
      <c r="J17" s="14" t="n">
        <f aca="false">J16-J$8*(J16-$B$4)*($B$3^2+1)</f>
        <v>2.7330322265625</v>
      </c>
      <c r="K17" s="14" t="n">
        <f aca="false">K16-K$8*(K16-$B$4)*($B$3^2+1)</f>
        <v>2.984375</v>
      </c>
      <c r="L17" s="14" t="n">
        <f aca="false">L16-L$8*(L16-$B$4)*($B$3^2+1)</f>
        <v>3.2669677734375</v>
      </c>
      <c r="M17" s="14" t="n">
        <f aca="false">M16-M$8*(M16-$B$4)*($B$3^2+1)</f>
        <v>12.5367431640625</v>
      </c>
    </row>
    <row r="18" customFormat="false" ht="15" hidden="false" customHeight="true" outlineLevel="0" collapsed="false">
      <c r="A18" s="12" t="n">
        <v>8</v>
      </c>
      <c r="B18" s="21" t="n">
        <f aca="false">B17-$B$7*F17</f>
        <v>1.296875</v>
      </c>
      <c r="C18" s="21" t="n">
        <f aca="false">C17-$B$7*G17</f>
        <v>0.3984375</v>
      </c>
      <c r="D18" s="21" t="n">
        <f aca="false">B18*$B$3+C18</f>
        <v>2.9921875</v>
      </c>
      <c r="E18" s="21" t="n">
        <f aca="false">0.5*(D18-$B$4)^2</f>
        <v>3.0517578125E-005</v>
      </c>
      <c r="F18" s="21" t="n">
        <f aca="false">(D18-$B$4)*$B$3</f>
        <v>-0.015625</v>
      </c>
      <c r="G18" s="21" t="n">
        <f aca="false">(D18-$B$4)</f>
        <v>-0.0078125</v>
      </c>
      <c r="I18" s="12" t="n">
        <v>8</v>
      </c>
      <c r="J18" s="14" t="n">
        <f aca="false">J17-J$8*(J17-$B$4)*($B$3^2+1)</f>
        <v>2.79977416992188</v>
      </c>
      <c r="K18" s="14" t="n">
        <f aca="false">K17-K$8*(K17-$B$4)*($B$3^2+1)</f>
        <v>2.9921875</v>
      </c>
      <c r="L18" s="14" t="n">
        <f aca="false">L17-L$8*(L17-$B$4)*($B$3^2+1)</f>
        <v>2.79977416992188</v>
      </c>
      <c r="M18" s="14" t="n">
        <f aca="false">M17-M$8*(M17-$B$4)*($B$3^2+1)</f>
        <v>-8.92092895507813</v>
      </c>
    </row>
    <row r="19" customFormat="false" ht="15" hidden="false" customHeight="true" outlineLevel="0" collapsed="false">
      <c r="A19" s="12" t="n">
        <v>9</v>
      </c>
      <c r="B19" s="21" t="n">
        <f aca="false">B18-$B$7*F18</f>
        <v>1.2984375</v>
      </c>
      <c r="C19" s="21" t="n">
        <f aca="false">C18-$B$7*G18</f>
        <v>0.39921875</v>
      </c>
      <c r="D19" s="21" t="n">
        <f aca="false">B19*$B$3+C19</f>
        <v>2.99609375</v>
      </c>
      <c r="E19" s="21" t="n">
        <f aca="false">0.5*(D19-$B$4)^2</f>
        <v>7.62939453125E-006</v>
      </c>
      <c r="F19" s="21" t="n">
        <f aca="false">(D19-$B$4)*$B$3</f>
        <v>-0.0078125</v>
      </c>
      <c r="G19" s="21" t="n">
        <f aca="false">(D19-$B$4)</f>
        <v>-0.00390625</v>
      </c>
      <c r="I19" s="12" t="n">
        <v>9</v>
      </c>
      <c r="J19" s="14" t="n">
        <f aca="false">J18-J$8*(J18-$B$4)*($B$3^2+1)</f>
        <v>2.84983062744141</v>
      </c>
      <c r="K19" s="14" t="n">
        <f aca="false">K18-K$8*(K18-$B$4)*($B$3^2+1)</f>
        <v>2.99609375</v>
      </c>
      <c r="L19" s="14" t="n">
        <f aca="false">L18-L$8*(L18-$B$4)*($B$3^2+1)</f>
        <v>3.15016937255859</v>
      </c>
      <c r="M19" s="14" t="n">
        <f aca="false">M18-M$8*(M18-$B$4)*($B$3^2+1)</f>
        <v>17.9011611938477</v>
      </c>
    </row>
    <row r="20" customFormat="false" ht="15" hidden="false" customHeight="true" outlineLevel="0" collapsed="false">
      <c r="A20" s="12" t="n">
        <v>10</v>
      </c>
      <c r="B20" s="21" t="n">
        <f aca="false">B19-$B$7*F19</f>
        <v>1.29921875</v>
      </c>
      <c r="C20" s="21" t="n">
        <f aca="false">C19-$B$7*G19</f>
        <v>0.399609375</v>
      </c>
      <c r="D20" s="21" t="n">
        <f aca="false">B20*$B$3+C20</f>
        <v>2.998046875</v>
      </c>
      <c r="E20" s="21" t="n">
        <f aca="false">0.5*(D20-$B$4)^2</f>
        <v>1.9073486328125E-006</v>
      </c>
      <c r="F20" s="21" t="n">
        <f aca="false">(D20-$B$4)*$B$3</f>
        <v>-0.00390625</v>
      </c>
      <c r="G20" s="21" t="n">
        <f aca="false">(D20-$B$4)</f>
        <v>-0.001953125</v>
      </c>
      <c r="I20" s="12" t="n">
        <v>10</v>
      </c>
      <c r="J20" s="14" t="n">
        <f aca="false">J19-J$8*(J19-$B$4)*($B$3^2+1)</f>
        <v>2.88737297058105</v>
      </c>
      <c r="K20" s="14" t="n">
        <f aca="false">K19-K$8*(K19-$B$4)*($B$3^2+1)</f>
        <v>2.998046875</v>
      </c>
      <c r="L20" s="14" t="n">
        <f aca="false">L19-L$8*(L19-$B$4)*($B$3^2+1)</f>
        <v>2.88737297058106</v>
      </c>
      <c r="M20" s="14" t="n">
        <f aca="false">M19-M$8*(M19-$B$4)*($B$3^2+1)</f>
        <v>-15.6264514923096</v>
      </c>
    </row>
    <row r="21" customFormat="false" ht="15" hidden="false" customHeight="true" outlineLevel="0" collapsed="false">
      <c r="I21" s="12" t="n">
        <v>11</v>
      </c>
      <c r="J21" s="14" t="n">
        <f aca="false">J20-J$8*(J20-$B$4)*($B$3^2+1)</f>
        <v>2.91552972793579</v>
      </c>
      <c r="K21" s="14" t="n">
        <f aca="false">K20-K$8*(K20-$B$4)*($B$3^2+1)</f>
        <v>2.9990234375</v>
      </c>
      <c r="L21" s="14" t="n">
        <f aca="false">L20-L$8*(L20-$B$4)*($B$3^2+1)</f>
        <v>3.08447027206421</v>
      </c>
      <c r="M21" s="14" t="n">
        <f aca="false">M20-M$8*(M20-$B$4)*($B$3^2+1)</f>
        <v>26.283064365387</v>
      </c>
    </row>
    <row r="22" customFormat="false" ht="15" hidden="false" customHeight="true" outlineLevel="0" collapsed="false">
      <c r="A22" s="19" t="s">
        <v>66</v>
      </c>
      <c r="I22" s="12" t="n">
        <v>12</v>
      </c>
      <c r="J22" s="14" t="n">
        <f aca="false">J21-J$8*(J21-$B$4)*($B$3^2+1)</f>
        <v>2.93664729595184</v>
      </c>
      <c r="K22" s="14" t="n">
        <f aca="false">K21-K$8*(K21-$B$4)*($B$3^2+1)</f>
        <v>2.99951171875</v>
      </c>
      <c r="L22" s="14" t="n">
        <f aca="false">L21-L$8*(L21-$B$4)*($B$3^2+1)</f>
        <v>2.93664729595184</v>
      </c>
      <c r="M22" s="14" t="n">
        <f aca="false">M21-M$8*(M21-$B$4)*($B$3^2+1)</f>
        <v>-26.1038304567337</v>
      </c>
    </row>
    <row r="23" customFormat="false" ht="15" hidden="false" customHeight="true" outlineLevel="0" collapsed="false">
      <c r="A23" s="19" t="s">
        <v>67</v>
      </c>
      <c r="I23" s="16" t="s">
        <v>68</v>
      </c>
      <c r="J23" s="22" t="n">
        <f aca="false">1-J8*($B$3^2+1)</f>
        <v>0.75</v>
      </c>
      <c r="K23" s="22" t="n">
        <f aca="false">1-K8*($B$3^2+1)</f>
        <v>0.5</v>
      </c>
      <c r="L23" s="22" t="n">
        <f aca="false">1-L8*($B$3^2+1)</f>
        <v>-0.75</v>
      </c>
      <c r="M23" s="22" t="n">
        <f aca="false">1-M8*($B$3^2+1)</f>
        <v>-1.25</v>
      </c>
    </row>
    <row r="24" customFormat="false" ht="15" hidden="false" customHeight="true" outlineLevel="0" collapsed="false">
      <c r="I24" s="16" t="s">
        <v>69</v>
      </c>
      <c r="J24" s="12" t="str">
        <f aca="false">IF(ABS(J23)&gt;=1,"diverges",IF(J23&lt;0,"oscillates",IF(J23=0,"one step","converges")))</f>
        <v>converges</v>
      </c>
      <c r="K24" s="12" t="str">
        <f aca="false">IF(ABS(K23)&gt;=1,"diverges",IF(K23&lt;0,"oscillates",IF(K23=0,"one step","converges")))</f>
        <v>converges</v>
      </c>
      <c r="L24" s="12" t="str">
        <f aca="false">IF(ABS(L23)&gt;=1,"diverges",IF(L23&lt;0,"oscillates",IF(L23=0,"one step","converges")))</f>
        <v>oscillates</v>
      </c>
      <c r="M24" s="12" t="str">
        <f aca="false">IF(ABS(M23)&gt;=1,"diverges",IF(M23&lt;0,"oscillates",IF(M23=0,"one step","converges")))</f>
        <v>diverges</v>
      </c>
    </row>
    <row r="26" customFormat="false" ht="15" hidden="false" customHeight="true" outlineLevel="0" collapsed="false">
      <c r="I26" s="19"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4" min="3" style="1" width="16"/>
    <col collapsed="false" customWidth="true" hidden="false" outlineLevel="0" max="5" min="5" style="1" width="18"/>
    <col collapsed="false" customWidth="true" hidden="false" outlineLevel="0" max="8" min="6" style="1" width="20"/>
    <col collapsed="false" customWidth="true" hidden="false" outlineLevel="0" max="9" min="9" style="1" width="18"/>
    <col collapsed="false" customWidth="true" hidden="false" outlineLevel="0" max="10" min="10" style="1" width="16"/>
  </cols>
  <sheetData>
    <row r="1" customFormat="false" ht="15.75" hidden="false" customHeight="true" outlineLevel="0" collapsed="false">
      <c r="A1" s="10" t="s">
        <v>71</v>
      </c>
    </row>
    <row r="2" customFormat="false" ht="15" hidden="false" customHeight="true" outlineLevel="0" collapsed="false">
      <c r="A2" s="19" t="s">
        <v>72</v>
      </c>
    </row>
    <row r="3" customFormat="false" ht="15" hidden="false" customHeight="true" outlineLevel="0" collapsed="false">
      <c r="A3" s="12" t="s">
        <v>73</v>
      </c>
      <c r="B3" s="23" t="n">
        <v>70000</v>
      </c>
    </row>
    <row r="4" customFormat="false" ht="15" hidden="false" customHeight="true" outlineLevel="0" collapsed="false">
      <c r="A4" s="12" t="s">
        <v>74</v>
      </c>
      <c r="B4" s="24" t="n">
        <v>1E-008</v>
      </c>
    </row>
    <row r="5" customFormat="false" ht="15" hidden="false" customHeight="true" outlineLevel="0" collapsed="false">
      <c r="A5" s="12" t="s">
        <v>75</v>
      </c>
      <c r="B5" s="15" t="n">
        <v>1</v>
      </c>
    </row>
    <row r="6" customFormat="false" ht="15" hidden="false" customHeight="true" outlineLevel="0" collapsed="false">
      <c r="A6" s="12" t="s">
        <v>76</v>
      </c>
      <c r="B6" s="15" t="n">
        <v>0.001</v>
      </c>
    </row>
    <row r="7" customFormat="false" ht="15" hidden="false" customHeight="true" outlineLevel="0" collapsed="false">
      <c r="A7" s="12" t="s">
        <v>77</v>
      </c>
      <c r="B7" s="25" t="n">
        <f aca="false">B5+B6</f>
        <v>1.001</v>
      </c>
    </row>
    <row r="9" customFormat="false" ht="42" hidden="false" customHeight="true" outlineLevel="0" collapsed="false">
      <c r="A9" s="11" t="s">
        <v>78</v>
      </c>
      <c r="B9" s="11" t="s">
        <v>79</v>
      </c>
      <c r="C9" s="11" t="s">
        <v>80</v>
      </c>
      <c r="D9" s="11" t="s">
        <v>81</v>
      </c>
      <c r="E9" s="11" t="s">
        <v>82</v>
      </c>
      <c r="F9" s="11" t="s">
        <v>83</v>
      </c>
      <c r="G9" s="11" t="s">
        <v>84</v>
      </c>
      <c r="H9" s="11" t="s">
        <v>85</v>
      </c>
      <c r="I9" s="11" t="s">
        <v>86</v>
      </c>
      <c r="J9" s="11" t="s">
        <v>87</v>
      </c>
    </row>
    <row r="10" customFormat="false" ht="15" hidden="false" customHeight="true" outlineLevel="0" collapsed="false">
      <c r="A10" s="16" t="s">
        <v>88</v>
      </c>
      <c r="B10" s="26" t="n">
        <v>1</v>
      </c>
      <c r="C10" s="26" t="n">
        <v>8</v>
      </c>
      <c r="D10" s="26" t="n">
        <v>23</v>
      </c>
      <c r="E10" s="26" t="n">
        <v>127</v>
      </c>
      <c r="F10" s="24" t="n">
        <v>3.40282346638529E+038</v>
      </c>
      <c r="G10" s="27" t="n">
        <f aca="false">2^(1-E10)</f>
        <v>1.17549435082229E-038</v>
      </c>
      <c r="H10" s="27" t="n">
        <f aca="false">2^(1-E10-D10)</f>
        <v>1.40129846432482E-045</v>
      </c>
      <c r="I10" s="28" t="n">
        <f aca="false">(D10+1)*LOG10(2)</f>
        <v>7.22471989593555</v>
      </c>
      <c r="J10" s="29" t="n">
        <f aca="false">2^(-D10)</f>
        <v>1.19209289550781E-007</v>
      </c>
    </row>
    <row r="11" customFormat="false" ht="15" hidden="false" customHeight="true" outlineLevel="0" collapsed="false">
      <c r="A11" s="16" t="s">
        <v>89</v>
      </c>
      <c r="B11" s="26" t="n">
        <v>1</v>
      </c>
      <c r="C11" s="26" t="n">
        <v>8</v>
      </c>
      <c r="D11" s="26" t="n">
        <v>7</v>
      </c>
      <c r="E11" s="26" t="n">
        <v>127</v>
      </c>
      <c r="F11" s="24" t="n">
        <v>3.38953138925154E+038</v>
      </c>
      <c r="G11" s="27" t="n">
        <f aca="false">2^(1-E11)</f>
        <v>1.17549435082229E-038</v>
      </c>
      <c r="H11" s="27" t="n">
        <f aca="false">2^(1-E11-D11)</f>
        <v>9.18354961579912E-041</v>
      </c>
      <c r="I11" s="28" t="n">
        <f aca="false">(D11+1)*LOG10(2)</f>
        <v>2.40823996531185</v>
      </c>
      <c r="J11" s="29" t="n">
        <f aca="false">2^(-D11)</f>
        <v>0.0078125</v>
      </c>
    </row>
    <row r="12" customFormat="false" ht="15" hidden="false" customHeight="true" outlineLevel="0" collapsed="false">
      <c r="A12" s="16" t="s">
        <v>90</v>
      </c>
      <c r="B12" s="26" t="n">
        <v>1</v>
      </c>
      <c r="C12" s="26" t="n">
        <v>5</v>
      </c>
      <c r="D12" s="26" t="n">
        <v>10</v>
      </c>
      <c r="E12" s="26" t="n">
        <v>15</v>
      </c>
      <c r="F12" s="30" t="n">
        <v>65504</v>
      </c>
      <c r="G12" s="27" t="n">
        <f aca="false">2^(1-E12)</f>
        <v>6.103515625E-005</v>
      </c>
      <c r="H12" s="27" t="n">
        <f aca="false">2^(1-E12-D12)</f>
        <v>5.96046447753906E-008</v>
      </c>
      <c r="I12" s="28" t="n">
        <f aca="false">(D12+1)*LOG10(2)</f>
        <v>3.31132995230379</v>
      </c>
      <c r="J12" s="29" t="n">
        <f aca="false">2^(-D12)</f>
        <v>0.0009765625</v>
      </c>
    </row>
    <row r="13" customFormat="false" ht="15" hidden="false" customHeight="true" outlineLevel="0" collapsed="false">
      <c r="A13" s="16" t="s">
        <v>91</v>
      </c>
      <c r="B13" s="26" t="n">
        <v>1</v>
      </c>
      <c r="C13" s="26" t="n">
        <v>4</v>
      </c>
      <c r="D13" s="26" t="n">
        <v>3</v>
      </c>
      <c r="E13" s="26" t="n">
        <v>7</v>
      </c>
      <c r="F13" s="30" t="n">
        <v>448</v>
      </c>
      <c r="G13" s="27" t="n">
        <f aca="false">2^(1-E13)</f>
        <v>0.015625</v>
      </c>
      <c r="H13" s="27" t="n">
        <f aca="false">2^(1-E13-D13)</f>
        <v>0.001953125</v>
      </c>
      <c r="I13" s="28" t="n">
        <f aca="false">(D13+1)*LOG10(2)</f>
        <v>1.20411998265592</v>
      </c>
      <c r="J13" s="29" t="n">
        <f aca="false">2^(-D13)</f>
        <v>0.125</v>
      </c>
    </row>
    <row r="14" customFormat="false" ht="15" hidden="false" customHeight="true" outlineLevel="0" collapsed="false">
      <c r="A14" s="16" t="s">
        <v>92</v>
      </c>
      <c r="B14" s="26" t="n">
        <v>1</v>
      </c>
      <c r="C14" s="26" t="n">
        <v>5</v>
      </c>
      <c r="D14" s="26" t="n">
        <v>2</v>
      </c>
      <c r="E14" s="26" t="n">
        <v>15</v>
      </c>
      <c r="F14" s="30" t="n">
        <v>57344</v>
      </c>
      <c r="G14" s="27" t="n">
        <f aca="false">2^(1-E14)</f>
        <v>6.103515625E-005</v>
      </c>
      <c r="H14" s="27" t="n">
        <f aca="false">2^(1-E14-D14)</f>
        <v>1.52587890625E-005</v>
      </c>
      <c r="I14" s="28" t="n">
        <f aca="false">(D14+1)*LOG10(2)</f>
        <v>0.903089986991944</v>
      </c>
      <c r="J14" s="29" t="n">
        <f aca="false">2^(-D14)</f>
        <v>0.25</v>
      </c>
    </row>
    <row r="15" customFormat="false" ht="15" hidden="false" customHeight="true" outlineLevel="0" collapsed="false">
      <c r="A15" s="16" t="s">
        <v>93</v>
      </c>
      <c r="B15" s="26" t="n">
        <v>1</v>
      </c>
      <c r="C15" s="26" t="n">
        <v>2</v>
      </c>
      <c r="D15" s="26" t="n">
        <v>1</v>
      </c>
      <c r="E15" s="26" t="n">
        <v>1</v>
      </c>
      <c r="F15" s="30" t="n">
        <v>6</v>
      </c>
      <c r="G15" s="27" t="n">
        <f aca="false">2^(1-E15)</f>
        <v>1</v>
      </c>
      <c r="H15" s="27" t="n">
        <f aca="false">2^(1-E15-D15)</f>
        <v>0.5</v>
      </c>
      <c r="I15" s="28" t="n">
        <f aca="false">(D15+1)*LOG10(2)</f>
        <v>0.602059991327962</v>
      </c>
      <c r="J15" s="29" t="n">
        <f aca="false">2^(-D15)</f>
        <v>0.5</v>
      </c>
    </row>
    <row r="17" customFormat="false" ht="30" hidden="false" customHeight="true" outlineLevel="0" collapsed="false">
      <c r="A17" s="11" t="s">
        <v>78</v>
      </c>
      <c r="B17" s="11" t="s">
        <v>94</v>
      </c>
      <c r="C17" s="11" t="s">
        <v>95</v>
      </c>
      <c r="D17" s="11" t="s">
        <v>96</v>
      </c>
      <c r="E17" s="11" t="s">
        <v>97</v>
      </c>
      <c r="F17" s="11" t="s">
        <v>98</v>
      </c>
      <c r="G17" s="11" t="s">
        <v>99</v>
      </c>
      <c r="H17" s="11" t="s">
        <v>100</v>
      </c>
    </row>
    <row r="18" customFormat="false" ht="15" hidden="false" customHeight="true" outlineLevel="0" collapsed="false">
      <c r="A18" s="16" t="s">
        <v>88</v>
      </c>
      <c r="B18" s="31" t="n">
        <f aca="false">IF($B$3=0,0,IF(ABS($B$3)&gt;$F10,"overflow",IF(ABS($B$3)&lt;$H10/2,0,SIGN($B$3)*MROUND(ABS($B$3),IF(ABS($B$3)&lt;$G10,$H10,2^(INT(LOG(ABS($B$3),2)+0.000000001)-$D10))))))</f>
        <v>70000</v>
      </c>
      <c r="C18" s="12" t="str">
        <f aca="false">IF(ABS($B$3)&gt;$F10,"overflow",IF(ABS($B$3)&lt;$H10/2,"underflow → 0",IF(ABS($B$3)&lt;$G10,"subnormal","normal")))</f>
        <v>normal</v>
      </c>
      <c r="D18" s="32" t="n">
        <f aca="false">IF($B$4=0,0,IF(ABS($B$4)&gt;$F10,"overflow",IF(ABS($B$4)&lt;$H10/2,0,SIGN($B$4)*MROUND(ABS($B$4),IF(ABS($B$4)&lt;$G10,$H10,2^(INT(LOG(ABS($B$4),2)+0.000000001)-$D10))))))</f>
        <v>9.99999993922529E-009</v>
      </c>
      <c r="E18" s="12" t="str">
        <f aca="false">IF(ABS($B$4)&gt;$F10,"overflow",IF(ABS($B$4)&lt;$H10/2,"underflow → 0",IF(ABS($B$4)&lt;$G10,"subnormal","normal")))</f>
        <v>normal</v>
      </c>
      <c r="F18" s="29" t="n">
        <f aca="false">IF(ABS($B$7)&lt;$G10,$H10,2^(INT(LOG(ABS($B$7),2)+0.000000001)-$D10))</f>
        <v>1.19209289550781E-007</v>
      </c>
      <c r="G18" s="29" t="n">
        <f aca="false">IF($B$7=0,0,IF(ABS($B$7)&gt;$F10,"overflow",IF(ABS($B$7)&lt;$H10/2,0,SIGN($B$7)*MROUND(ABS($B$7),IF(ABS($B$7)&lt;$G10,$H10,2^(INT(LOG(ABS($B$7),2)+0.000000001)-$D10))))))</f>
        <v>1.00100004673004</v>
      </c>
      <c r="H18" s="16" t="str">
        <f aca="false">IF(G18="overflow","overflow",IF(G18=$B$5,"lost","kept"))</f>
        <v>kept</v>
      </c>
    </row>
    <row r="19" customFormat="false" ht="15" hidden="false" customHeight="true" outlineLevel="0" collapsed="false">
      <c r="A19" s="16" t="s">
        <v>89</v>
      </c>
      <c r="B19" s="31" t="n">
        <f aca="false">IF($B$3=0,0,IF(ABS($B$3)&gt;$F11,"overflow",IF(ABS($B$3)&lt;$H11/2,0,SIGN($B$3)*MROUND(ABS($B$3),IF(ABS($B$3)&lt;$G11,$H11,2^(INT(LOG(ABS($B$3),2)+0.000000001)-$D11))))))</f>
        <v>70144</v>
      </c>
      <c r="C19" s="12" t="str">
        <f aca="false">IF(ABS($B$3)&gt;$F11,"overflow",IF(ABS($B$3)&lt;$H11/2,"underflow → 0",IF(ABS($B$3)&lt;$G11,"subnormal","normal")))</f>
        <v>normal</v>
      </c>
      <c r="D19" s="32" t="n">
        <f aca="false">IF($B$4=0,0,IF(ABS($B$4)&gt;$F11,"overflow",IF(ABS($B$4)&lt;$H11/2,0,SIGN($B$4)*MROUND(ABS($B$4),IF(ABS($B$4)&lt;$G11,$H11,2^(INT(LOG(ABS($B$4),2)+0.000000001)-$D11))))))</f>
        <v>1.00117176771164E-008</v>
      </c>
      <c r="E19" s="12" t="str">
        <f aca="false">IF(ABS($B$4)&gt;$F11,"overflow",IF(ABS($B$4)&lt;$H11/2,"underflow → 0",IF(ABS($B$4)&lt;$G11,"subnormal","normal")))</f>
        <v>normal</v>
      </c>
      <c r="F19" s="29" t="n">
        <f aca="false">IF(ABS($B$7)&lt;$G11,$H11,2^(INT(LOG(ABS($B$7),2)+0.000000001)-$D11))</f>
        <v>0.0078125</v>
      </c>
      <c r="G19" s="29" t="n">
        <f aca="false">IF($B$7=0,0,IF(ABS($B$7)&gt;$F11,"overflow",IF(ABS($B$7)&lt;$H11/2,0,SIGN($B$7)*MROUND(ABS($B$7),IF(ABS($B$7)&lt;$G11,$H11,2^(INT(LOG(ABS($B$7),2)+0.000000001)-$D11))))))</f>
        <v>1</v>
      </c>
      <c r="H19" s="16" t="str">
        <f aca="false">IF(G19="overflow","overflow",IF(G19=$B$5,"lost","kept"))</f>
        <v>lost</v>
      </c>
    </row>
    <row r="20" customFormat="false" ht="15" hidden="false" customHeight="true" outlineLevel="0" collapsed="false">
      <c r="A20" s="16" t="s">
        <v>90</v>
      </c>
      <c r="B20" s="31" t="str">
        <f aca="false">IF($B$3=0,0,IF(ABS($B$3)&gt;$F12,"overflow",IF(ABS($B$3)&lt;$H12/2,0,SIGN($B$3)*MROUND(ABS($B$3),IF(ABS($B$3)&lt;$G12,$H12,2^(INT(LOG(ABS($B$3),2)+0.000000001)-$D12))))))</f>
        <v>overflow</v>
      </c>
      <c r="C20" s="12" t="str">
        <f aca="false">IF(ABS($B$3)&gt;$F12,"overflow",IF(ABS($B$3)&lt;$H12/2,"underflow → 0",IF(ABS($B$3)&lt;$G12,"subnormal","normal")))</f>
        <v>overflow</v>
      </c>
      <c r="D20" s="32" t="n">
        <f aca="false">IF($B$4=0,0,IF(ABS($B$4)&gt;$F12,"overflow",IF(ABS($B$4)&lt;$H12/2,0,SIGN($B$4)*MROUND(ABS($B$4),IF(ABS($B$4)&lt;$G12,$H12,2^(INT(LOG(ABS($B$4),2)+0.000000001)-$D12))))))</f>
        <v>0</v>
      </c>
      <c r="E20" s="12" t="str">
        <f aca="false">IF(ABS($B$4)&gt;$F12,"overflow",IF(ABS($B$4)&lt;$H12/2,"underflow → 0",IF(ABS($B$4)&lt;$G12,"subnormal","normal")))</f>
        <v>underflow → 0</v>
      </c>
      <c r="F20" s="29" t="n">
        <f aca="false">IF(ABS($B$7)&lt;$G12,$H12,2^(INT(LOG(ABS($B$7),2)+0.000000001)-$D12))</f>
        <v>0.0009765625</v>
      </c>
      <c r="G20" s="29" t="n">
        <f aca="false">IF($B$7=0,0,IF(ABS($B$7)&gt;$F12,"overflow",IF(ABS($B$7)&lt;$H12/2,0,SIGN($B$7)*MROUND(ABS($B$7),IF(ABS($B$7)&lt;$G12,$H12,2^(INT(LOG(ABS($B$7),2)+0.000000001)-$D12))))))</f>
        <v>1.0009765625</v>
      </c>
      <c r="H20" s="16" t="str">
        <f aca="false">IF(G20="overflow","overflow",IF(G20=$B$5,"lost","kept"))</f>
        <v>kept</v>
      </c>
    </row>
    <row r="21" customFormat="false" ht="15" hidden="false" customHeight="true" outlineLevel="0" collapsed="false">
      <c r="A21" s="16" t="s">
        <v>91</v>
      </c>
      <c r="B21" s="31" t="str">
        <f aca="false">IF($B$3=0,0,IF(ABS($B$3)&gt;$F13,"overflow",IF(ABS($B$3)&lt;$H13/2,0,SIGN($B$3)*MROUND(ABS($B$3),IF(ABS($B$3)&lt;$G13,$H13,2^(INT(LOG(ABS($B$3),2)+0.000000001)-$D13))))))</f>
        <v>overflow</v>
      </c>
      <c r="C21" s="12" t="str">
        <f aca="false">IF(ABS($B$3)&gt;$F13,"overflow",IF(ABS($B$3)&lt;$H13/2,"underflow → 0",IF(ABS($B$3)&lt;$G13,"subnormal","normal")))</f>
        <v>overflow</v>
      </c>
      <c r="D21" s="32" t="n">
        <f aca="false">IF($B$4=0,0,IF(ABS($B$4)&gt;$F13,"overflow",IF(ABS($B$4)&lt;$H13/2,0,SIGN($B$4)*MROUND(ABS($B$4),IF(ABS($B$4)&lt;$G13,$H13,2^(INT(LOG(ABS($B$4),2)+0.000000001)-$D13))))))</f>
        <v>0</v>
      </c>
      <c r="E21" s="12" t="str">
        <f aca="false">IF(ABS($B$4)&gt;$F13,"overflow",IF(ABS($B$4)&lt;$H13/2,"underflow → 0",IF(ABS($B$4)&lt;$G13,"subnormal","normal")))</f>
        <v>underflow → 0</v>
      </c>
      <c r="F21" s="29" t="n">
        <f aca="false">IF(ABS($B$7)&lt;$G13,$H13,2^(INT(LOG(ABS($B$7),2)+0.000000001)-$D13))</f>
        <v>0.125</v>
      </c>
      <c r="G21" s="29" t="n">
        <f aca="false">IF($B$7=0,0,IF(ABS($B$7)&gt;$F13,"overflow",IF(ABS($B$7)&lt;$H13/2,0,SIGN($B$7)*MROUND(ABS($B$7),IF(ABS($B$7)&lt;$G13,$H13,2^(INT(LOG(ABS($B$7),2)+0.000000001)-$D13))))))</f>
        <v>1</v>
      </c>
      <c r="H21" s="16" t="str">
        <f aca="false">IF(G21="overflow","overflow",IF(G21=$B$5,"lost","kept"))</f>
        <v>lost</v>
      </c>
    </row>
    <row r="22" customFormat="false" ht="15" hidden="false" customHeight="true" outlineLevel="0" collapsed="false">
      <c r="A22" s="16" t="s">
        <v>92</v>
      </c>
      <c r="B22" s="31" t="str">
        <f aca="false">IF($B$3=0,0,IF(ABS($B$3)&gt;$F14,"overflow",IF(ABS($B$3)&lt;$H14/2,0,SIGN($B$3)*MROUND(ABS($B$3),IF(ABS($B$3)&lt;$G14,$H14,2^(INT(LOG(ABS($B$3),2)+0.000000001)-$D14))))))</f>
        <v>overflow</v>
      </c>
      <c r="C22" s="12" t="str">
        <f aca="false">IF(ABS($B$3)&gt;$F14,"overflow",IF(ABS($B$3)&lt;$H14/2,"underflow → 0",IF(ABS($B$3)&lt;$G14,"subnormal","normal")))</f>
        <v>overflow</v>
      </c>
      <c r="D22" s="32" t="n">
        <f aca="false">IF($B$4=0,0,IF(ABS($B$4)&gt;$F14,"overflow",IF(ABS($B$4)&lt;$H14/2,0,SIGN($B$4)*MROUND(ABS($B$4),IF(ABS($B$4)&lt;$G14,$H14,2^(INT(LOG(ABS($B$4),2)+0.000000001)-$D14))))))</f>
        <v>0</v>
      </c>
      <c r="E22" s="12" t="str">
        <f aca="false">IF(ABS($B$4)&gt;$F14,"overflow",IF(ABS($B$4)&lt;$H14/2,"underflow → 0",IF(ABS($B$4)&lt;$G14,"subnormal","normal")))</f>
        <v>underflow → 0</v>
      </c>
      <c r="F22" s="29" t="n">
        <f aca="false">IF(ABS($B$7)&lt;$G14,$H14,2^(INT(LOG(ABS($B$7),2)+0.000000001)-$D14))</f>
        <v>0.25</v>
      </c>
      <c r="G22" s="29" t="n">
        <f aca="false">IF($B$7=0,0,IF(ABS($B$7)&gt;$F14,"overflow",IF(ABS($B$7)&lt;$H14/2,0,SIGN($B$7)*MROUND(ABS($B$7),IF(ABS($B$7)&lt;$G14,$H14,2^(INT(LOG(ABS($B$7),2)+0.000000001)-$D14))))))</f>
        <v>1</v>
      </c>
      <c r="H22" s="16" t="str">
        <f aca="false">IF(G22="overflow","overflow",IF(G22=$B$5,"lost","kept"))</f>
        <v>lost</v>
      </c>
    </row>
    <row r="23" customFormat="false" ht="15" hidden="false" customHeight="true" outlineLevel="0" collapsed="false">
      <c r="A23" s="16" t="s">
        <v>93</v>
      </c>
      <c r="B23" s="31" t="str">
        <f aca="false">IF($B$3=0,0,IF(ABS($B$3)&gt;$F15,"overflow",IF(ABS($B$3)&lt;$H15/2,0,SIGN($B$3)*MROUND(ABS($B$3),IF(ABS($B$3)&lt;$G15,$H15,2^(INT(LOG(ABS($B$3),2)+0.000000001)-$D15))))))</f>
        <v>overflow</v>
      </c>
      <c r="C23" s="12" t="str">
        <f aca="false">IF(ABS($B$3)&gt;$F15,"overflow",IF(ABS($B$3)&lt;$H15/2,"underflow → 0",IF(ABS($B$3)&lt;$G15,"subnormal","normal")))</f>
        <v>overflow</v>
      </c>
      <c r="D23" s="32" t="n">
        <f aca="false">IF($B$4=0,0,IF(ABS($B$4)&gt;$F15,"overflow",IF(ABS($B$4)&lt;$H15/2,0,SIGN($B$4)*MROUND(ABS($B$4),IF(ABS($B$4)&lt;$G15,$H15,2^(INT(LOG(ABS($B$4),2)+0.000000001)-$D15))))))</f>
        <v>0</v>
      </c>
      <c r="E23" s="12" t="str">
        <f aca="false">IF(ABS($B$4)&gt;$F15,"overflow",IF(ABS($B$4)&lt;$H15/2,"underflow → 0",IF(ABS($B$4)&lt;$G15,"subnormal","normal")))</f>
        <v>underflow → 0</v>
      </c>
      <c r="F23" s="29" t="n">
        <f aca="false">IF(ABS($B$7)&lt;$G15,$H15,2^(INT(LOG(ABS($B$7),2)+0.000000001)-$D15))</f>
        <v>0.5</v>
      </c>
      <c r="G23" s="29" t="n">
        <f aca="false">IF($B$7=0,0,IF(ABS($B$7)&gt;$F15,"overflow",IF(ABS($B$7)&lt;$H15/2,0,SIGN($B$7)*MROUND(ABS($B$7),IF(ABS($B$7)&lt;$G15,$H15,2^(INT(LOG(ABS($B$7),2)+0.000000001)-$D15))))))</f>
        <v>1</v>
      </c>
      <c r="H23" s="16" t="str">
        <f aca="false">IF(G23="overflow","overflow",IF(G23=$B$5,"lost","kept"))</f>
        <v>lost</v>
      </c>
    </row>
    <row r="25" customFormat="false" ht="15" hidden="false" customHeight="true" outlineLevel="0" collapsed="false">
      <c r="A25" s="19" t="s">
        <v>101</v>
      </c>
    </row>
    <row r="27" customFormat="false" ht="15" hidden="false" customHeight="true" outlineLevel="0" collapsed="false">
      <c r="A27" s="20" t="s">
        <v>102</v>
      </c>
    </row>
    <row r="28" customFormat="false" ht="15" hidden="false" customHeight="true" outlineLevel="0" collapsed="false">
      <c r="A28" s="12" t="s">
        <v>103</v>
      </c>
      <c r="B28" s="30" t="n">
        <v>7000000000</v>
      </c>
    </row>
    <row r="30" customFormat="false" ht="42" hidden="false" customHeight="true" outlineLevel="0" collapsed="false">
      <c r="A30" s="11" t="s">
        <v>78</v>
      </c>
      <c r="B30" s="11" t="s">
        <v>104</v>
      </c>
      <c r="C30" s="11" t="s">
        <v>105</v>
      </c>
      <c r="D30" s="11" t="s">
        <v>106</v>
      </c>
      <c r="E30" s="11" t="s">
        <v>107</v>
      </c>
      <c r="F30" s="11" t="s">
        <v>108</v>
      </c>
    </row>
    <row r="31" customFormat="false" ht="15" hidden="false" customHeight="true" outlineLevel="0" collapsed="false">
      <c r="A31" s="16" t="s">
        <v>109</v>
      </c>
      <c r="B31" s="26" t="n">
        <v>4</v>
      </c>
      <c r="C31" s="26" t="n">
        <v>32</v>
      </c>
      <c r="D31" s="26" t="n">
        <v>8</v>
      </c>
      <c r="E31" s="33" t="n">
        <f aca="false">B31+D31/C31</f>
        <v>4.25</v>
      </c>
      <c r="F31" s="33" t="n">
        <f aca="false">$B$28*E31/8/1000000000</f>
        <v>3.71875</v>
      </c>
    </row>
    <row r="32" customFormat="false" ht="15" hidden="false" customHeight="true" outlineLevel="0" collapsed="false">
      <c r="A32" s="16" t="s">
        <v>110</v>
      </c>
      <c r="B32" s="26" t="n">
        <v>4</v>
      </c>
      <c r="C32" s="26" t="n">
        <v>16</v>
      </c>
      <c r="D32" s="26" t="n">
        <v>8</v>
      </c>
      <c r="E32" s="33" t="n">
        <f aca="false">B32+D32/C32</f>
        <v>4.5</v>
      </c>
      <c r="F32" s="33" t="n">
        <f aca="false">$B$28*E32/8/1000000000</f>
        <v>3.9375</v>
      </c>
    </row>
    <row r="33" customFormat="false" ht="15" hidden="false" customHeight="true" outlineLevel="0" collapsed="false">
      <c r="A33" s="16" t="s">
        <v>111</v>
      </c>
      <c r="B33" s="26" t="n">
        <v>8</v>
      </c>
      <c r="C33" s="26" t="n">
        <v>32</v>
      </c>
      <c r="D33" s="26" t="n">
        <v>8</v>
      </c>
      <c r="E33" s="33" t="n">
        <f aca="false">B33+D33/C33</f>
        <v>8.25</v>
      </c>
      <c r="F33" s="33" t="n">
        <f aca="false">$B$28*E33/8/1000000000</f>
        <v>7.21875</v>
      </c>
    </row>
    <row r="34" customFormat="false" ht="15" hidden="false" customHeight="true" outlineLevel="0" collapsed="false">
      <c r="A34" s="16" t="s">
        <v>112</v>
      </c>
      <c r="B34" s="26" t="n">
        <v>4</v>
      </c>
      <c r="C34" s="26" t="n">
        <v>32</v>
      </c>
      <c r="D34" s="26" t="n">
        <v>16</v>
      </c>
      <c r="E34" s="33" t="n">
        <f aca="false">B34+D34/C34</f>
        <v>4.5</v>
      </c>
      <c r="F34" s="33" t="n">
        <f aca="false">$B$28*E34/8/1000000000</f>
        <v>3.9375</v>
      </c>
    </row>
    <row r="35" customFormat="false" ht="15" hidden="false" customHeight="true" outlineLevel="0" collapsed="false">
      <c r="A35" s="16" t="s">
        <v>113</v>
      </c>
      <c r="B35" s="26" t="n">
        <v>8</v>
      </c>
      <c r="C35" s="26" t="n">
        <v>32</v>
      </c>
      <c r="D35" s="26" t="n">
        <v>16</v>
      </c>
      <c r="E35" s="33" t="n">
        <f aca="false">B35+D35/C35</f>
        <v>8.5</v>
      </c>
      <c r="F35" s="33" t="n">
        <f aca="false">$B$28*E35/8/1000000000</f>
        <v>7.4375</v>
      </c>
    </row>
    <row r="37" customFormat="false" ht="15" hidden="false" customHeight="true" outlineLevel="0" collapsed="false">
      <c r="A37" s="19"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18"/>
    <col collapsed="false" customWidth="true" hidden="false" outlineLevel="0" max="4" min="4" style="1" width="14"/>
  </cols>
  <sheetData>
    <row r="1" customFormat="false" ht="15.75" hidden="false" customHeight="true" outlineLevel="0" collapsed="false">
      <c r="A1" s="10" t="s">
        <v>115</v>
      </c>
    </row>
    <row r="3" customFormat="false" ht="15" hidden="false" customHeight="true" outlineLevel="0" collapsed="false">
      <c r="A3" s="12" t="s">
        <v>116</v>
      </c>
      <c r="B3" s="30" t="n">
        <v>8</v>
      </c>
    </row>
    <row r="4" customFormat="false" ht="15" hidden="false" customHeight="true" outlineLevel="0" collapsed="false">
      <c r="A4" s="12" t="s">
        <v>117</v>
      </c>
      <c r="B4" s="30" t="n">
        <v>4096</v>
      </c>
    </row>
    <row r="5" customFormat="false" ht="15" hidden="false" customHeight="true" outlineLevel="0" collapsed="false">
      <c r="A5" s="12" t="s">
        <v>118</v>
      </c>
      <c r="B5" s="30" t="n">
        <v>4096</v>
      </c>
    </row>
    <row r="6" customFormat="false" ht="15" hidden="false" customHeight="true" outlineLevel="0" collapsed="false">
      <c r="A6" s="12" t="s">
        <v>119</v>
      </c>
      <c r="B6" s="30" t="n">
        <v>32</v>
      </c>
    </row>
    <row r="7" customFormat="false" ht="15" hidden="false" customHeight="true" outlineLevel="0" collapsed="false">
      <c r="A7" s="12" t="s">
        <v>120</v>
      </c>
      <c r="B7" s="30" t="n">
        <v>11008</v>
      </c>
    </row>
    <row r="8" customFormat="false" ht="15" hidden="false" customHeight="true" outlineLevel="0" collapsed="false">
      <c r="A8" s="12" t="s">
        <v>121</v>
      </c>
      <c r="B8" s="30" t="n">
        <v>2</v>
      </c>
    </row>
    <row r="9" customFormat="false" ht="15" hidden="false" customHeight="true" outlineLevel="0" collapsed="false">
      <c r="A9" s="12" t="s">
        <v>122</v>
      </c>
      <c r="B9" s="34" t="n">
        <f aca="false">B5/B6</f>
        <v>128</v>
      </c>
    </row>
    <row r="11" customFormat="false" ht="15" hidden="false" customHeight="true" outlineLevel="0" collapsed="false">
      <c r="A11" s="11" t="s">
        <v>123</v>
      </c>
      <c r="B11" s="11" t="s">
        <v>124</v>
      </c>
      <c r="C11" s="11" t="s">
        <v>125</v>
      </c>
      <c r="D11" s="11" t="s">
        <v>126</v>
      </c>
    </row>
    <row r="12" customFormat="false" ht="15" hidden="false" customHeight="true" outlineLevel="0" collapsed="false">
      <c r="A12" s="12" t="s">
        <v>127</v>
      </c>
      <c r="B12" s="12" t="s">
        <v>128</v>
      </c>
      <c r="C12" s="34" t="n">
        <f aca="false">B3*B4*B5</f>
        <v>134217728</v>
      </c>
      <c r="D12" s="35" t="n">
        <f aca="false">C12*$B$8/1000000000</f>
        <v>0.268435456</v>
      </c>
    </row>
    <row r="13" customFormat="false" ht="15" hidden="false" customHeight="true" outlineLevel="0" collapsed="false">
      <c r="A13" s="12" t="s">
        <v>129</v>
      </c>
      <c r="B13" s="12" t="s">
        <v>128</v>
      </c>
      <c r="C13" s="34" t="n">
        <f aca="false">B3*B4*B5</f>
        <v>134217728</v>
      </c>
      <c r="D13" s="35" t="n">
        <f aca="false">C13*$B$8/1000000000</f>
        <v>0.268435456</v>
      </c>
    </row>
    <row r="14" customFormat="false" ht="15" hidden="false" customHeight="true" outlineLevel="0" collapsed="false">
      <c r="A14" s="12" t="s">
        <v>130</v>
      </c>
      <c r="B14" s="12" t="s">
        <v>131</v>
      </c>
      <c r="C14" s="34" t="n">
        <f aca="false">B3*B4*B7</f>
        <v>360710144</v>
      </c>
      <c r="D14" s="35" t="n">
        <f aca="false">C14*$B$8/1000000000</f>
        <v>0.721420288</v>
      </c>
    </row>
    <row r="15" customFormat="false" ht="15" hidden="false" customHeight="true" outlineLevel="0" collapsed="false">
      <c r="A15" s="12" t="s">
        <v>132</v>
      </c>
      <c r="B15" s="12" t="s">
        <v>133</v>
      </c>
      <c r="C15" s="34" t="n">
        <f aca="false">B3*B6*B4^2</f>
        <v>4294967296</v>
      </c>
      <c r="D15" s="35" t="n">
        <f aca="false">C15*$B$8/1000000000</f>
        <v>8.589934592</v>
      </c>
    </row>
    <row r="17" customFormat="false" ht="15" hidden="false" customHeight="true" outlineLevel="0" collapsed="false">
      <c r="A17" s="19"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6"/>
  </cols>
  <sheetData>
    <row r="1" customFormat="false" ht="15.75" hidden="false" customHeight="true" outlineLevel="0" collapsed="false">
      <c r="A1" s="10" t="s">
        <v>135</v>
      </c>
    </row>
    <row r="3" customFormat="false" ht="15" hidden="false" customHeight="true" outlineLevel="0" collapsed="false">
      <c r="A3" s="11" t="s">
        <v>136</v>
      </c>
      <c r="B3" s="11" t="s">
        <v>137</v>
      </c>
      <c r="C3" s="11" t="s">
        <v>138</v>
      </c>
      <c r="D3" s="11" t="s">
        <v>139</v>
      </c>
    </row>
    <row r="4" customFormat="false" ht="15" hidden="false" customHeight="true" outlineLevel="0" collapsed="false">
      <c r="A4" s="12" t="s">
        <v>140</v>
      </c>
      <c r="B4" s="30" t="n">
        <v>4096</v>
      </c>
      <c r="C4" s="30" t="n">
        <v>4096</v>
      </c>
      <c r="D4" s="30" t="n">
        <v>4096</v>
      </c>
    </row>
    <row r="5" customFormat="false" ht="15" hidden="false" customHeight="true" outlineLevel="0" collapsed="false">
      <c r="A5" s="12" t="s">
        <v>141</v>
      </c>
      <c r="B5" s="30" t="n">
        <v>32</v>
      </c>
      <c r="C5" s="30" t="n">
        <v>32</v>
      </c>
      <c r="D5" s="30" t="n">
        <v>32</v>
      </c>
    </row>
    <row r="6" customFormat="false" ht="15" hidden="false" customHeight="true" outlineLevel="0" collapsed="false">
      <c r="A6" s="12" t="s">
        <v>142</v>
      </c>
      <c r="B6" s="30" t="n">
        <v>32</v>
      </c>
      <c r="C6" s="30" t="n">
        <v>32</v>
      </c>
      <c r="D6" s="30" t="n">
        <v>32</v>
      </c>
    </row>
    <row r="7" customFormat="false" ht="15" hidden="false" customHeight="true" outlineLevel="0" collapsed="false">
      <c r="A7" s="12" t="s">
        <v>143</v>
      </c>
      <c r="B7" s="30" t="n">
        <v>32</v>
      </c>
      <c r="C7" s="30" t="n">
        <v>8</v>
      </c>
      <c r="D7" s="30" t="n">
        <v>8</v>
      </c>
    </row>
    <row r="8" customFormat="false" ht="15" hidden="false" customHeight="true" outlineLevel="0" collapsed="false">
      <c r="A8" s="12" t="s">
        <v>144</v>
      </c>
      <c r="B8" s="30" t="n">
        <v>11008</v>
      </c>
      <c r="C8" s="30" t="n">
        <v>14336</v>
      </c>
      <c r="D8" s="30" t="n">
        <v>14336</v>
      </c>
    </row>
    <row r="9" customFormat="false" ht="15" hidden="false" customHeight="true" outlineLevel="0" collapsed="false">
      <c r="A9" s="12" t="s">
        <v>145</v>
      </c>
      <c r="B9" s="30" t="n">
        <v>32000</v>
      </c>
      <c r="C9" s="30" t="n">
        <v>32000</v>
      </c>
      <c r="D9" s="30" t="n">
        <v>128256</v>
      </c>
    </row>
    <row r="10" customFormat="false" ht="15" hidden="false" customHeight="true" outlineLevel="0" collapsed="false">
      <c r="A10" s="12" t="s">
        <v>146</v>
      </c>
      <c r="B10" s="30" t="n">
        <v>1</v>
      </c>
      <c r="C10" s="30" t="n">
        <v>1</v>
      </c>
      <c r="D10" s="30" t="n">
        <v>1</v>
      </c>
    </row>
    <row r="12" customFormat="false" ht="15" hidden="false" customHeight="true" outlineLevel="0" collapsed="false">
      <c r="A12" s="12" t="s">
        <v>122</v>
      </c>
      <c r="B12" s="34" t="n">
        <f aca="false">B4/B6</f>
        <v>128</v>
      </c>
      <c r="C12" s="34" t="n">
        <f aca="false">C4/C6</f>
        <v>128</v>
      </c>
      <c r="D12" s="34" t="n">
        <f aca="false">D4/D6</f>
        <v>128</v>
      </c>
    </row>
    <row r="13" customFormat="false" ht="15" hidden="false" customHeight="true" outlineLevel="0" collapsed="false">
      <c r="A13" s="12" t="s">
        <v>147</v>
      </c>
      <c r="B13" s="34" t="n">
        <f aca="false">B4^2</f>
        <v>16777216</v>
      </c>
      <c r="C13" s="34" t="n">
        <f aca="false">C4^2</f>
        <v>16777216</v>
      </c>
      <c r="D13" s="34" t="n">
        <f aca="false">D4^2</f>
        <v>16777216</v>
      </c>
    </row>
    <row r="14" customFormat="false" ht="15" hidden="false" customHeight="true" outlineLevel="0" collapsed="false">
      <c r="A14" s="12" t="s">
        <v>148</v>
      </c>
      <c r="B14" s="34" t="n">
        <f aca="false">B4*B7*B12</f>
        <v>16777216</v>
      </c>
      <c r="C14" s="34" t="n">
        <f aca="false">C4*C7*C12</f>
        <v>4194304</v>
      </c>
      <c r="D14" s="34" t="n">
        <f aca="false">D4*D7*D12</f>
        <v>4194304</v>
      </c>
    </row>
    <row r="15" customFormat="false" ht="15" hidden="false" customHeight="true" outlineLevel="0" collapsed="false">
      <c r="A15" s="12" t="s">
        <v>149</v>
      </c>
      <c r="B15" s="34" t="n">
        <f aca="false">B4*B7*B12</f>
        <v>16777216</v>
      </c>
      <c r="C15" s="34" t="n">
        <f aca="false">C4*C7*C12</f>
        <v>4194304</v>
      </c>
      <c r="D15" s="34" t="n">
        <f aca="false">D4*D7*D12</f>
        <v>4194304</v>
      </c>
    </row>
    <row r="16" customFormat="false" ht="15" hidden="false" customHeight="true" outlineLevel="0" collapsed="false">
      <c r="A16" s="12" t="s">
        <v>150</v>
      </c>
      <c r="B16" s="34" t="n">
        <f aca="false">B4^2</f>
        <v>16777216</v>
      </c>
      <c r="C16" s="34" t="n">
        <f aca="false">C4^2</f>
        <v>16777216</v>
      </c>
      <c r="D16" s="34" t="n">
        <f aca="false">D4^2</f>
        <v>16777216</v>
      </c>
    </row>
    <row r="17" customFormat="false" ht="15" hidden="false" customHeight="true" outlineLevel="0" collapsed="false">
      <c r="A17" s="12" t="s">
        <v>151</v>
      </c>
      <c r="B17" s="34" t="n">
        <f aca="false">SUM(B13:B16)</f>
        <v>67108864</v>
      </c>
      <c r="C17" s="34" t="n">
        <f aca="false">SUM(C13:C16)</f>
        <v>41943040</v>
      </c>
      <c r="D17" s="34" t="n">
        <f aca="false">SUM(D13:D16)</f>
        <v>41943040</v>
      </c>
    </row>
    <row r="18" customFormat="false" ht="15" hidden="false" customHeight="true" outlineLevel="0" collapsed="false">
      <c r="A18" s="12" t="s">
        <v>152</v>
      </c>
      <c r="B18" s="34" t="n">
        <f aca="false">3*B4*B8</f>
        <v>135266304</v>
      </c>
      <c r="C18" s="34" t="n">
        <f aca="false">3*C4*C8</f>
        <v>176160768</v>
      </c>
      <c r="D18" s="34" t="n">
        <f aca="false">3*D4*D8</f>
        <v>176160768</v>
      </c>
    </row>
    <row r="19" customFormat="false" ht="15" hidden="false" customHeight="true" outlineLevel="0" collapsed="false">
      <c r="A19" s="12" t="s">
        <v>153</v>
      </c>
      <c r="B19" s="34" t="n">
        <f aca="false">2*B4</f>
        <v>8192</v>
      </c>
      <c r="C19" s="34" t="n">
        <f aca="false">2*C4</f>
        <v>8192</v>
      </c>
      <c r="D19" s="34" t="n">
        <f aca="false">2*D4</f>
        <v>8192</v>
      </c>
    </row>
    <row r="20" customFormat="false" ht="15" hidden="false" customHeight="true" outlineLevel="0" collapsed="false">
      <c r="A20" s="12" t="s">
        <v>154</v>
      </c>
      <c r="B20" s="34" t="n">
        <f aca="false">B17+B18+B19</f>
        <v>202383360</v>
      </c>
      <c r="C20" s="34" t="n">
        <f aca="false">C17+C18+C19</f>
        <v>218112000</v>
      </c>
      <c r="D20" s="34" t="n">
        <f aca="false">D17+D18+D19</f>
        <v>218112000</v>
      </c>
    </row>
    <row r="21" customFormat="false" ht="15" hidden="false" customHeight="true" outlineLevel="0" collapsed="false">
      <c r="A21" s="12" t="s">
        <v>155</v>
      </c>
      <c r="B21" s="34" t="n">
        <f aca="false">B5*B20</f>
        <v>6476267520</v>
      </c>
      <c r="C21" s="34" t="n">
        <f aca="false">C5*C20</f>
        <v>6979584000</v>
      </c>
      <c r="D21" s="34" t="n">
        <f aca="false">D5*D20</f>
        <v>6979584000</v>
      </c>
    </row>
    <row r="22" customFormat="false" ht="15" hidden="false" customHeight="true" outlineLevel="0" collapsed="false">
      <c r="A22" s="12" t="s">
        <v>156</v>
      </c>
      <c r="B22" s="34" t="n">
        <f aca="false">B9*B4</f>
        <v>131072000</v>
      </c>
      <c r="C22" s="34" t="n">
        <f aca="false">C9*C4</f>
        <v>131072000</v>
      </c>
      <c r="D22" s="34" t="n">
        <f aca="false">D9*D4</f>
        <v>525336576</v>
      </c>
    </row>
    <row r="23" customFormat="false" ht="15" hidden="false" customHeight="true" outlineLevel="0" collapsed="false">
      <c r="A23" s="12" t="s">
        <v>157</v>
      </c>
      <c r="B23" s="34" t="n">
        <f aca="false">B9*B4*B10</f>
        <v>131072000</v>
      </c>
      <c r="C23" s="34" t="n">
        <f aca="false">C9*C4*C10</f>
        <v>131072000</v>
      </c>
      <c r="D23" s="34" t="n">
        <f aca="false">D9*D4*D10</f>
        <v>525336576</v>
      </c>
    </row>
    <row r="24" customFormat="false" ht="15" hidden="false" customHeight="true" outlineLevel="0" collapsed="false">
      <c r="A24" s="12" t="s">
        <v>158</v>
      </c>
      <c r="B24" s="34" t="n">
        <f aca="false">B4</f>
        <v>4096</v>
      </c>
      <c r="C24" s="34" t="n">
        <f aca="false">C4</f>
        <v>4096</v>
      </c>
      <c r="D24" s="34" t="n">
        <f aca="false">D4</f>
        <v>4096</v>
      </c>
    </row>
    <row r="25" customFormat="false" ht="15" hidden="false" customHeight="true" outlineLevel="0" collapsed="false">
      <c r="A25" s="16" t="s">
        <v>159</v>
      </c>
      <c r="B25" s="36" t="n">
        <f aca="false">B21+B22+B23+B24</f>
        <v>6738415616</v>
      </c>
      <c r="C25" s="36" t="n">
        <f aca="false">C21+C22+C23+C24</f>
        <v>7241732096</v>
      </c>
      <c r="D25" s="36" t="n">
        <f aca="false">D21+D22+D23+D24</f>
        <v>8030261248</v>
      </c>
    </row>
    <row r="26" customFormat="false" ht="15" hidden="false" customHeight="true" outlineLevel="0" collapsed="false">
      <c r="A26" s="16" t="s">
        <v>160</v>
      </c>
      <c r="B26" s="17" t="n">
        <f aca="false">B25/1000000000</f>
        <v>6.738415616</v>
      </c>
      <c r="C26" s="17" t="n">
        <f aca="false">C25/1000000000</f>
        <v>7.241732096</v>
      </c>
      <c r="D26" s="17" t="n">
        <f aca="false">D25/1000000000</f>
        <v>8.030261248</v>
      </c>
    </row>
    <row r="27" customFormat="false" ht="15" hidden="false" customHeight="true" outlineLevel="0" collapsed="false">
      <c r="A27" s="12" t="s">
        <v>161</v>
      </c>
      <c r="B27" s="34" t="n">
        <f aca="false">B22+B23</f>
        <v>262144000</v>
      </c>
      <c r="C27" s="34" t="n">
        <f aca="false">C22+C23</f>
        <v>262144000</v>
      </c>
      <c r="D27" s="34" t="n">
        <f aca="false">D22+D23</f>
        <v>1050673152</v>
      </c>
    </row>
    <row r="28" customFormat="false" ht="15" hidden="false" customHeight="true" outlineLevel="0" collapsed="false">
      <c r="A28" s="12" t="s">
        <v>162</v>
      </c>
      <c r="B28" s="34" t="n">
        <f aca="false">B5*B19+B24</f>
        <v>266240</v>
      </c>
      <c r="C28" s="34" t="n">
        <f aca="false">C5*C19+C24</f>
        <v>266240</v>
      </c>
      <c r="D28" s="34" t="n">
        <f aca="false">D5*D19+D24</f>
        <v>266240</v>
      </c>
    </row>
    <row r="29" customFormat="false" ht="15" hidden="false" customHeight="true" outlineLevel="0" collapsed="false">
      <c r="A29" s="12" t="s">
        <v>163</v>
      </c>
      <c r="B29" s="37" t="n">
        <f aca="false">B5*B17/B25</f>
        <v>0.318692667591016</v>
      </c>
      <c r="C29" s="37" t="n">
        <f aca="false">C5*C17/C25</f>
        <v>0.185339261685938</v>
      </c>
      <c r="D29" s="37" t="n">
        <f aca="false">D5*D17/D25</f>
        <v>0.16713992715172</v>
      </c>
    </row>
    <row r="30" customFormat="false" ht="15" hidden="false" customHeight="true" outlineLevel="0" collapsed="false">
      <c r="A30" s="12" t="s">
        <v>164</v>
      </c>
      <c r="B30" s="37" t="n">
        <f aca="false">B5*B18/B25</f>
        <v>0.642364908113142</v>
      </c>
      <c r="C30" s="37" t="n">
        <f aca="false">C5*C18/C25</f>
        <v>0.77842489908094</v>
      </c>
      <c r="D30" s="37" t="n">
        <f aca="false">D5*D18/D25</f>
        <v>0.701987694037224</v>
      </c>
    </row>
    <row r="31" customFormat="false" ht="15" hidden="false" customHeight="true" outlineLevel="0" collapsed="false">
      <c r="A31" s="12" t="s">
        <v>165</v>
      </c>
      <c r="B31" s="37" t="n">
        <f aca="false">(B22+B23)/B25</f>
        <v>0.038902913524294</v>
      </c>
      <c r="C31" s="37" t="n">
        <f aca="false">(C22+C23)/C25</f>
        <v>0.0361990745480348</v>
      </c>
      <c r="D31" s="37" t="n">
        <f aca="false">(D22+D23)/D25</f>
        <v>0.130839224223456</v>
      </c>
    </row>
    <row r="33" customFormat="false" ht="15" hidden="false" customHeight="true" outlineLevel="0" collapsed="false">
      <c r="A33" s="12" t="s">
        <v>166</v>
      </c>
      <c r="B33" s="13" t="n">
        <v>6.74</v>
      </c>
      <c r="C33" s="13" t="n">
        <v>7.24</v>
      </c>
      <c r="D33" s="13" t="n">
        <v>8.03</v>
      </c>
    </row>
    <row r="35" customFormat="false" ht="15" hidden="false" customHeight="true" outlineLevel="0" collapsed="false">
      <c r="A35" s="19" t="s">
        <v>167</v>
      </c>
    </row>
    <row r="36" customFormat="false" ht="15" hidden="false" customHeight="true" outlineLevel="0" collapsed="false">
      <c r="A36" s="19"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2" min="2" style="1" width="18"/>
    <col collapsed="false" customWidth="true" hidden="false" outlineLevel="0" max="3" min="3" style="1" width="20"/>
    <col collapsed="false" customWidth="true" hidden="false" outlineLevel="0" max="4" min="4" style="1" width="22"/>
  </cols>
  <sheetData>
    <row r="1" customFormat="false" ht="15.75" hidden="false" customHeight="true" outlineLevel="0" collapsed="false">
      <c r="A1" s="10" t="s">
        <v>169</v>
      </c>
    </row>
    <row r="3" customFormat="false" ht="15" hidden="false" customHeight="true" outlineLevel="0" collapsed="false">
      <c r="A3" s="12" t="s">
        <v>170</v>
      </c>
      <c r="B3" s="30" t="n">
        <v>7000000000</v>
      </c>
    </row>
    <row r="4" customFormat="false" ht="15" hidden="false" customHeight="true" outlineLevel="0" collapsed="false">
      <c r="A4" s="12" t="s">
        <v>171</v>
      </c>
      <c r="B4" s="26" t="n">
        <v>24</v>
      </c>
    </row>
    <row r="5" customFormat="false" ht="15" hidden="false" customHeight="true" outlineLevel="0" collapsed="false">
      <c r="A5" s="12" t="s">
        <v>172</v>
      </c>
      <c r="B5" s="26" t="n">
        <v>80</v>
      </c>
    </row>
    <row r="6" customFormat="false" ht="15" hidden="false" customHeight="true" outlineLevel="0" collapsed="false">
      <c r="A6" s="12" t="s">
        <v>173</v>
      </c>
      <c r="B6" s="26" t="n">
        <v>141</v>
      </c>
    </row>
    <row r="7" customFormat="false" ht="15" hidden="false" customHeight="true" outlineLevel="0" collapsed="false">
      <c r="A7" s="12" t="s">
        <v>174</v>
      </c>
      <c r="B7" s="30" t="n">
        <v>70000000000</v>
      </c>
    </row>
    <row r="9" customFormat="false" ht="15" hidden="false" customHeight="true" outlineLevel="0" collapsed="false">
      <c r="A9" s="11" t="s">
        <v>175</v>
      </c>
      <c r="B9" s="11" t="s">
        <v>176</v>
      </c>
      <c r="C9" s="11" t="s">
        <v>177</v>
      </c>
      <c r="D9" s="11" t="s">
        <v>178</v>
      </c>
    </row>
    <row r="10" customFormat="false" ht="15" hidden="false" customHeight="true" outlineLevel="0" collapsed="false">
      <c r="A10" s="12" t="s">
        <v>88</v>
      </c>
      <c r="B10" s="13" t="n">
        <v>32</v>
      </c>
      <c r="C10" s="33" t="n">
        <f aca="false">$B$3*B10/8/1000000000</f>
        <v>28</v>
      </c>
      <c r="D10" s="12" t="str">
        <f aca="false">IF(C10&lt;=$B$4,"yes (before KV cache)","no")</f>
        <v>no</v>
      </c>
    </row>
    <row r="11" customFormat="false" ht="15" hidden="false" customHeight="true" outlineLevel="0" collapsed="false">
      <c r="A11" s="12" t="s">
        <v>179</v>
      </c>
      <c r="B11" s="13" t="n">
        <v>16</v>
      </c>
      <c r="C11" s="33" t="n">
        <f aca="false">$B$3*B11/8/1000000000</f>
        <v>14</v>
      </c>
      <c r="D11" s="12" t="str">
        <f aca="false">IF(C11&lt;=$B$4,"yes (before KV cache)","no")</f>
        <v>yes (before KV cache)</v>
      </c>
    </row>
    <row r="12" customFormat="false" ht="15" hidden="false" customHeight="true" outlineLevel="0" collapsed="false">
      <c r="A12" s="12" t="s">
        <v>180</v>
      </c>
      <c r="B12" s="13" t="n">
        <v>8</v>
      </c>
      <c r="C12" s="33" t="n">
        <f aca="false">$B$3*B12/8/1000000000</f>
        <v>7</v>
      </c>
      <c r="D12" s="12" t="str">
        <f aca="false">IF(C12&lt;=$B$4,"yes (before KV cache)","no")</f>
        <v>yes (before KV cache)</v>
      </c>
    </row>
    <row r="13" customFormat="false" ht="15" hidden="false" customHeight="true" outlineLevel="0" collapsed="false">
      <c r="A13" s="12" t="s">
        <v>181</v>
      </c>
      <c r="B13" s="13" t="n">
        <v>4.5</v>
      </c>
      <c r="C13" s="33" t="n">
        <f aca="false">$B$3*B13/8/1000000000</f>
        <v>3.9375</v>
      </c>
      <c r="D13" s="12" t="str">
        <f aca="false">IF(C13&lt;=$B$4,"yes (before KV cache)","no")</f>
        <v>yes (before KV cache)</v>
      </c>
    </row>
    <row r="14" customFormat="false" ht="15" hidden="false" customHeight="true" outlineLevel="0" collapsed="false">
      <c r="A14" s="12" t="s">
        <v>182</v>
      </c>
      <c r="B14" s="13" t="n">
        <v>4.25</v>
      </c>
      <c r="C14" s="33" t="n">
        <f aca="false">$B$3*B14/8/1000000000</f>
        <v>3.71875</v>
      </c>
      <c r="D14" s="12" t="str">
        <f aca="false">IF(C14&lt;=$B$4,"yes (before KV cache)","no")</f>
        <v>yes (before KV cache)</v>
      </c>
    </row>
    <row r="15" customFormat="false" ht="15" hidden="false" customHeight="true" outlineLevel="0" collapsed="false">
      <c r="A15" s="12" t="s">
        <v>183</v>
      </c>
      <c r="B15" s="13" t="n">
        <v>4.9</v>
      </c>
      <c r="C15" s="33" t="n">
        <f aca="false">$B$3*B15/8/1000000000</f>
        <v>4.2875</v>
      </c>
      <c r="D15" s="12" t="str">
        <f aca="false">IF(C15&lt;=$B$4,"yes (before KV cache)","no")</f>
        <v>yes (before KV cache)</v>
      </c>
    </row>
    <row r="17" customFormat="false" ht="15" hidden="false" customHeight="true" outlineLevel="0" collapsed="false">
      <c r="A17" s="11" t="s">
        <v>184</v>
      </c>
      <c r="B17" s="11" t="s">
        <v>185</v>
      </c>
      <c r="C17" s="11" t="s">
        <v>186</v>
      </c>
    </row>
    <row r="18" customFormat="false" ht="15" hidden="false" customHeight="true" outlineLevel="0" collapsed="false">
      <c r="A18" s="12" t="s">
        <v>187</v>
      </c>
      <c r="B18" s="26" t="n">
        <v>2</v>
      </c>
      <c r="C18" s="38" t="n">
        <f aca="false">$B$3*B18/1000000000</f>
        <v>14</v>
      </c>
    </row>
    <row r="19" customFormat="false" ht="15" hidden="false" customHeight="true" outlineLevel="0" collapsed="false">
      <c r="A19" s="12" t="s">
        <v>188</v>
      </c>
      <c r="B19" s="26" t="n">
        <v>2</v>
      </c>
      <c r="C19" s="38" t="n">
        <f aca="false">$B$3*B19/1000000000</f>
        <v>14</v>
      </c>
    </row>
    <row r="20" customFormat="false" ht="15" hidden="false" customHeight="true" outlineLevel="0" collapsed="false">
      <c r="A20" s="12" t="s">
        <v>189</v>
      </c>
      <c r="B20" s="26" t="n">
        <v>4</v>
      </c>
      <c r="C20" s="38" t="n">
        <f aca="false">$B$3*B20/1000000000</f>
        <v>28</v>
      </c>
    </row>
    <row r="21" customFormat="false" ht="15" hidden="false" customHeight="true" outlineLevel="0" collapsed="false">
      <c r="A21" s="12" t="s">
        <v>190</v>
      </c>
      <c r="B21" s="26" t="n">
        <v>4</v>
      </c>
      <c r="C21" s="38" t="n">
        <f aca="false">$B$3*B21/1000000000</f>
        <v>28</v>
      </c>
    </row>
    <row r="22" customFormat="false" ht="15" hidden="false" customHeight="true" outlineLevel="0" collapsed="false">
      <c r="A22" s="12" t="s">
        <v>191</v>
      </c>
      <c r="B22" s="26" t="n">
        <v>4</v>
      </c>
      <c r="C22" s="38" t="n">
        <f aca="false">$B$3*B22/1000000000</f>
        <v>28</v>
      </c>
    </row>
    <row r="23" customFormat="false" ht="15" hidden="false" customHeight="true" outlineLevel="0" collapsed="false">
      <c r="A23" s="16" t="s">
        <v>192</v>
      </c>
      <c r="B23" s="39" t="n">
        <f aca="false">SUM(B18:B22)</f>
        <v>16</v>
      </c>
      <c r="C23" s="40" t="n">
        <f aca="false">SUM(C18:C22)</f>
        <v>112</v>
      </c>
    </row>
    <row r="24" customFormat="false" ht="15" hidden="false" customHeight="true" outlineLevel="0" collapsed="false">
      <c r="A24" s="16" t="s">
        <v>193</v>
      </c>
      <c r="C24" s="39" t="n">
        <f aca="false">ROUNDUP(C23/B5,0)</f>
        <v>2</v>
      </c>
    </row>
    <row r="25" customFormat="false" ht="15" hidden="false" customHeight="true" outlineLevel="0" collapsed="false">
      <c r="A25" s="12" t="s">
        <v>194</v>
      </c>
      <c r="C25" s="38" t="n">
        <f aca="false">B6-C23</f>
        <v>29</v>
      </c>
    </row>
    <row r="26" customFormat="false" ht="15" hidden="false" customHeight="true" outlineLevel="0" collapsed="false">
      <c r="A26" s="12" t="s">
        <v>195</v>
      </c>
      <c r="C26" s="33" t="n">
        <f aca="false">B7*B23/1000000000000</f>
        <v>1.12</v>
      </c>
    </row>
    <row r="28" customFormat="false" ht="15" hidden="false" customHeight="true" outlineLevel="0" collapsed="false">
      <c r="A28" s="19" t="s">
        <v>196</v>
      </c>
    </row>
    <row r="29" customFormat="false" ht="15" hidden="false" customHeight="true" outlineLevel="0" collapsed="false">
      <c r="A29" s="19"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8"/>
    <col collapsed="false" customWidth="true" hidden="false" outlineLevel="0" max="2" min="2" style="1" width="22"/>
    <col collapsed="false" customWidth="true" hidden="false" outlineLevel="0" max="3" min="3" style="1" width="14"/>
    <col collapsed="false" customWidth="true" hidden="false" outlineLevel="0" max="4" min="4" style="1" width="10"/>
    <col collapsed="false" customWidth="true" hidden="false" outlineLevel="0" max="5" min="5" style="1" width="14"/>
    <col collapsed="false" customWidth="true" hidden="false" outlineLevel="0" max="6" min="6" style="1" width="12"/>
    <col collapsed="false" customWidth="true" hidden="false" outlineLevel="0" max="7" min="7" style="1" width="14"/>
    <col collapsed="false" customWidth="true" hidden="false" outlineLevel="0" max="8" min="8" style="1" width="16"/>
    <col collapsed="false" customWidth="true" hidden="false" outlineLevel="0" max="9" min="9" style="1" width="12"/>
  </cols>
  <sheetData>
    <row r="1" customFormat="false" ht="15.75" hidden="false" customHeight="true" outlineLevel="0" collapsed="false">
      <c r="A1" s="10" t="s">
        <v>198</v>
      </c>
    </row>
    <row r="3" customFormat="false" ht="15" hidden="false" customHeight="true" outlineLevel="0" collapsed="false">
      <c r="A3" s="12" t="s">
        <v>199</v>
      </c>
      <c r="B3" s="41" t="n">
        <v>989</v>
      </c>
      <c r="D3" s="20" t="s">
        <v>200</v>
      </c>
    </row>
    <row r="4" customFormat="false" ht="30" hidden="false" customHeight="true" outlineLevel="0" collapsed="false">
      <c r="A4" s="12" t="s">
        <v>201</v>
      </c>
      <c r="B4" s="41" t="n">
        <v>3.35</v>
      </c>
      <c r="D4" s="11" t="s">
        <v>202</v>
      </c>
      <c r="E4" s="11" t="s">
        <v>203</v>
      </c>
      <c r="F4" s="11" t="s">
        <v>204</v>
      </c>
      <c r="G4" s="11" t="s">
        <v>205</v>
      </c>
      <c r="H4" s="11" t="s">
        <v>206</v>
      </c>
      <c r="I4" s="11" t="s">
        <v>207</v>
      </c>
    </row>
    <row r="5" customFormat="false" ht="15" hidden="false" customHeight="true" outlineLevel="0" collapsed="false">
      <c r="A5" s="12" t="s">
        <v>170</v>
      </c>
      <c r="B5" s="41" t="n">
        <v>7000000000</v>
      </c>
      <c r="D5" s="30" t="n">
        <v>1</v>
      </c>
      <c r="E5" s="38" t="n">
        <f aca="false">2*$B$5*D5/$B$12</f>
        <v>1</v>
      </c>
      <c r="F5" s="33" t="n">
        <f aca="false">1000*MAX($B$12/($B$4*1000000000000),2*$B$5*D5/($B$3*1000000000000))</f>
        <v>4.17910447761194</v>
      </c>
      <c r="G5" s="34" t="n">
        <f aca="false">1000/F5</f>
        <v>239.285714285714</v>
      </c>
      <c r="H5" s="34" t="n">
        <f aca="false">D5*1000/F5</f>
        <v>239.285714285714</v>
      </c>
      <c r="I5" s="12" t="str">
        <f aca="false">IF(E5&lt;$B$11,"bandwidth","compute")</f>
        <v>bandwidth</v>
      </c>
    </row>
    <row r="6" customFormat="false" ht="15" hidden="false" customHeight="true" outlineLevel="0" collapsed="false">
      <c r="A6" s="12" t="s">
        <v>208</v>
      </c>
      <c r="B6" s="41" t="n">
        <v>2</v>
      </c>
      <c r="D6" s="30" t="n">
        <v>2</v>
      </c>
      <c r="E6" s="38" t="n">
        <f aca="false">2*$B$5*D6/$B$12</f>
        <v>2</v>
      </c>
      <c r="F6" s="33" t="n">
        <f aca="false">1000*MAX($B$12/($B$4*1000000000000),2*$B$5*D6/($B$3*1000000000000))</f>
        <v>4.17910447761194</v>
      </c>
      <c r="G6" s="34" t="n">
        <f aca="false">1000/F6</f>
        <v>239.285714285714</v>
      </c>
      <c r="H6" s="34" t="n">
        <f aca="false">D6*1000/F6</f>
        <v>478.571428571429</v>
      </c>
      <c r="I6" s="12" t="str">
        <f aca="false">IF(E6&lt;$B$11,"bandwidth","compute")</f>
        <v>bandwidth</v>
      </c>
    </row>
    <row r="7" customFormat="false" ht="15" hidden="false" customHeight="true" outlineLevel="0" collapsed="false">
      <c r="A7" s="12" t="s">
        <v>209</v>
      </c>
      <c r="B7" s="41" t="n">
        <v>2000</v>
      </c>
      <c r="D7" s="30" t="n">
        <v>4</v>
      </c>
      <c r="E7" s="38" t="n">
        <f aca="false">2*$B$5*D7/$B$12</f>
        <v>4</v>
      </c>
      <c r="F7" s="33" t="n">
        <f aca="false">1000*MAX($B$12/($B$4*1000000000000),2*$B$5*D7/($B$3*1000000000000))</f>
        <v>4.17910447761194</v>
      </c>
      <c r="G7" s="34" t="n">
        <f aca="false">1000/F7</f>
        <v>239.285714285714</v>
      </c>
      <c r="H7" s="34" t="n">
        <f aca="false">D7*1000/F7</f>
        <v>957.142857142857</v>
      </c>
      <c r="I7" s="12" t="str">
        <f aca="false">IF(E7&lt;$B$11,"bandwidth","compute")</f>
        <v>bandwidth</v>
      </c>
    </row>
    <row r="8" customFormat="false" ht="15" hidden="false" customHeight="true" outlineLevel="0" collapsed="false">
      <c r="A8" s="12" t="s">
        <v>210</v>
      </c>
      <c r="B8" s="41" t="n">
        <v>0.5</v>
      </c>
      <c r="D8" s="30" t="n">
        <v>8</v>
      </c>
      <c r="E8" s="38" t="n">
        <f aca="false">2*$B$5*D8/$B$12</f>
        <v>8</v>
      </c>
      <c r="F8" s="33" t="n">
        <f aca="false">1000*MAX($B$12/($B$4*1000000000000),2*$B$5*D8/($B$3*1000000000000))</f>
        <v>4.17910447761194</v>
      </c>
      <c r="G8" s="34" t="n">
        <f aca="false">1000/F8</f>
        <v>239.285714285714</v>
      </c>
      <c r="H8" s="34" t="n">
        <f aca="false">D8*1000/F8</f>
        <v>1914.28571428571</v>
      </c>
      <c r="I8" s="12" t="str">
        <f aca="false">IF(E8&lt;$B$11,"bandwidth","compute")</f>
        <v>bandwidth</v>
      </c>
    </row>
    <row r="9" customFormat="false" ht="15" hidden="false" customHeight="true" outlineLevel="0" collapsed="false">
      <c r="A9" s="12" t="s">
        <v>211</v>
      </c>
      <c r="B9" s="41" t="n">
        <v>1</v>
      </c>
      <c r="D9" s="30" t="n">
        <v>16</v>
      </c>
      <c r="E9" s="38" t="n">
        <f aca="false">2*$B$5*D9/$B$12</f>
        <v>16</v>
      </c>
      <c r="F9" s="33" t="n">
        <f aca="false">1000*MAX($B$12/($B$4*1000000000000),2*$B$5*D9/($B$3*1000000000000))</f>
        <v>4.17910447761194</v>
      </c>
      <c r="G9" s="34" t="n">
        <f aca="false">1000/F9</f>
        <v>239.285714285714</v>
      </c>
      <c r="H9" s="34" t="n">
        <f aca="false">D9*1000/F9</f>
        <v>3828.57142857143</v>
      </c>
      <c r="I9" s="12" t="str">
        <f aca="false">IF(E9&lt;$B$11,"bandwidth","compute")</f>
        <v>bandwidth</v>
      </c>
    </row>
    <row r="10" customFormat="false" ht="15" hidden="false" customHeight="true" outlineLevel="0" collapsed="false">
      <c r="D10" s="30" t="n">
        <v>32</v>
      </c>
      <c r="E10" s="38" t="n">
        <f aca="false">2*$B$5*D10/$B$12</f>
        <v>32</v>
      </c>
      <c r="F10" s="33" t="n">
        <f aca="false">1000*MAX($B$12/($B$4*1000000000000),2*$B$5*D10/($B$3*1000000000000))</f>
        <v>4.17910447761194</v>
      </c>
      <c r="G10" s="34" t="n">
        <f aca="false">1000/F10</f>
        <v>239.285714285714</v>
      </c>
      <c r="H10" s="34" t="n">
        <f aca="false">D10*1000/F10</f>
        <v>7657.14285714286</v>
      </c>
      <c r="I10" s="12" t="str">
        <f aca="false">IF(E10&lt;$B$11,"bandwidth","compute")</f>
        <v>bandwidth</v>
      </c>
    </row>
    <row r="11" customFormat="false" ht="15" hidden="false" customHeight="true" outlineLevel="0" collapsed="false">
      <c r="A11" s="16" t="s">
        <v>212</v>
      </c>
      <c r="B11" s="39" t="n">
        <f aca="false">B3/B4</f>
        <v>295.223880597015</v>
      </c>
      <c r="D11" s="30" t="n">
        <v>64</v>
      </c>
      <c r="E11" s="38" t="n">
        <f aca="false">2*$B$5*D11/$B$12</f>
        <v>64</v>
      </c>
      <c r="F11" s="33" t="n">
        <f aca="false">1000*MAX($B$12/($B$4*1000000000000),2*$B$5*D11/($B$3*1000000000000))</f>
        <v>4.17910447761194</v>
      </c>
      <c r="G11" s="34" t="n">
        <f aca="false">1000/F11</f>
        <v>239.285714285714</v>
      </c>
      <c r="H11" s="34" t="n">
        <f aca="false">D11*1000/F11</f>
        <v>15314.2857142857</v>
      </c>
      <c r="I11" s="12" t="str">
        <f aca="false">IF(E11&lt;$B$11,"bandwidth","compute")</f>
        <v>bandwidth</v>
      </c>
    </row>
    <row r="12" customFormat="false" ht="15" hidden="false" customHeight="true" outlineLevel="0" collapsed="false">
      <c r="A12" s="12" t="s">
        <v>213</v>
      </c>
      <c r="B12" s="27" t="n">
        <f aca="false">B5*B6</f>
        <v>14000000000</v>
      </c>
      <c r="D12" s="30" t="n">
        <v>128</v>
      </c>
      <c r="E12" s="38" t="n">
        <f aca="false">2*$B$5*D12/$B$12</f>
        <v>128</v>
      </c>
      <c r="F12" s="33" t="n">
        <f aca="false">1000*MAX($B$12/($B$4*1000000000000),2*$B$5*D12/($B$3*1000000000000))</f>
        <v>4.17910447761194</v>
      </c>
      <c r="G12" s="34" t="n">
        <f aca="false">1000/F12</f>
        <v>239.285714285714</v>
      </c>
      <c r="H12" s="34" t="n">
        <f aca="false">D12*1000/F12</f>
        <v>30628.5714285714</v>
      </c>
      <c r="I12" s="12" t="str">
        <f aca="false">IF(E12&lt;$B$11,"bandwidth","compute")</f>
        <v>bandwidth</v>
      </c>
    </row>
    <row r="13" customFormat="false" ht="15" hidden="false" customHeight="true" outlineLevel="0" collapsed="false">
      <c r="D13" s="30" t="n">
        <v>256</v>
      </c>
      <c r="E13" s="38" t="n">
        <f aca="false">2*$B$5*D13/$B$12</f>
        <v>256</v>
      </c>
      <c r="F13" s="33" t="n">
        <f aca="false">1000*MAX($B$12/($B$4*1000000000000),2*$B$5*D13/($B$3*1000000000000))</f>
        <v>4.17910447761194</v>
      </c>
      <c r="G13" s="34" t="n">
        <f aca="false">1000/F13</f>
        <v>239.285714285714</v>
      </c>
      <c r="H13" s="34" t="n">
        <f aca="false">D13*1000/F13</f>
        <v>61257.1428571429</v>
      </c>
      <c r="I13" s="12" t="str">
        <f aca="false">IF(E13&lt;$B$11,"bandwidth","compute")</f>
        <v>bandwidth</v>
      </c>
    </row>
    <row r="14" customFormat="false" ht="15" hidden="false" customHeight="true" outlineLevel="0" collapsed="false">
      <c r="A14" s="11" t="s">
        <v>214</v>
      </c>
      <c r="B14" s="11" t="s">
        <v>215</v>
      </c>
      <c r="D14" s="30" t="n">
        <v>512</v>
      </c>
      <c r="E14" s="38" t="n">
        <f aca="false">2*$B$5*D14/$B$12</f>
        <v>512</v>
      </c>
      <c r="F14" s="33" t="n">
        <f aca="false">1000*MAX($B$12/($B$4*1000000000000),2*$B$5*D14/($B$3*1000000000000))</f>
        <v>7.24772497472194</v>
      </c>
      <c r="G14" s="34" t="n">
        <f aca="false">1000/F14</f>
        <v>137.974330357143</v>
      </c>
      <c r="H14" s="34" t="n">
        <f aca="false">D14*1000/F14</f>
        <v>70642.8571428571</v>
      </c>
      <c r="I14" s="12" t="str">
        <f aca="false">IF(E14&lt;$B$11,"bandwidth","compute")</f>
        <v>compute</v>
      </c>
    </row>
    <row r="15" customFormat="false" ht="15" hidden="false" customHeight="true" outlineLevel="0" collapsed="false">
      <c r="A15" s="12" t="s">
        <v>216</v>
      </c>
      <c r="B15" s="27" t="n">
        <f aca="false">2*B5*B7</f>
        <v>28000000000000</v>
      </c>
      <c r="D15" s="30" t="n">
        <v>1024</v>
      </c>
      <c r="E15" s="38" t="n">
        <f aca="false">2*$B$5*D15/$B$12</f>
        <v>1024</v>
      </c>
      <c r="F15" s="33" t="n">
        <f aca="false">1000*MAX($B$12/($B$4*1000000000000),2*$B$5*D15/($B$3*1000000000000))</f>
        <v>14.4954499494439</v>
      </c>
      <c r="G15" s="34" t="n">
        <f aca="false">1000/F15</f>
        <v>68.9871651785714</v>
      </c>
      <c r="H15" s="34" t="n">
        <f aca="false">D15*1000/F15</f>
        <v>70642.8571428571</v>
      </c>
      <c r="I15" s="12" t="str">
        <f aca="false">IF(E15&lt;$B$11,"bandwidth","compute")</f>
        <v>compute</v>
      </c>
    </row>
    <row r="16" customFormat="false" ht="15" hidden="false" customHeight="true" outlineLevel="0" collapsed="false">
      <c r="A16" s="12" t="s">
        <v>217</v>
      </c>
      <c r="B16" s="34" t="n">
        <f aca="false">B15/B12</f>
        <v>2000</v>
      </c>
    </row>
    <row r="17" customFormat="false" ht="15" hidden="false" customHeight="true" outlineLevel="0" collapsed="false">
      <c r="A17" s="12" t="s">
        <v>207</v>
      </c>
      <c r="B17" s="12" t="str">
        <f aca="false">IF(B16&lt;$B$11,"memory-bandwidth bound","compute bound")</f>
        <v>compute bound</v>
      </c>
    </row>
    <row r="18" customFormat="false" ht="15" hidden="false" customHeight="true" outlineLevel="0" collapsed="false">
      <c r="A18" s="12" t="s">
        <v>218</v>
      </c>
      <c r="B18" s="17" t="n">
        <f aca="false">B15/(B3*1000000000000*B8)</f>
        <v>0.0566228513650152</v>
      </c>
    </row>
    <row r="20" customFormat="false" ht="15" hidden="false" customHeight="true" outlineLevel="0" collapsed="false">
      <c r="A20" s="11" t="s">
        <v>219</v>
      </c>
      <c r="B20" s="11" t="s">
        <v>215</v>
      </c>
    </row>
    <row r="21" customFormat="false" ht="15" hidden="false" customHeight="true" outlineLevel="0" collapsed="false">
      <c r="A21" s="12" t="s">
        <v>220</v>
      </c>
      <c r="B21" s="27" t="n">
        <f aca="false">2*B5*B9</f>
        <v>14000000000</v>
      </c>
    </row>
    <row r="22" customFormat="false" ht="15" hidden="false" customHeight="true" outlineLevel="0" collapsed="false">
      <c r="A22" s="12" t="s">
        <v>217</v>
      </c>
      <c r="B22" s="28" t="n">
        <f aca="false">B21/B12</f>
        <v>1</v>
      </c>
    </row>
    <row r="23" customFormat="false" ht="15" hidden="false" customHeight="true" outlineLevel="0" collapsed="false">
      <c r="A23" s="12" t="s">
        <v>207</v>
      </c>
      <c r="B23" s="12" t="str">
        <f aca="false">IF(B22&lt;$B$11,"memory-bandwidth bound","compute bound")</f>
        <v>memory-bandwidth bound</v>
      </c>
    </row>
    <row r="24" customFormat="false" ht="15" hidden="false" customHeight="true" outlineLevel="0" collapsed="false">
      <c r="A24" s="12" t="s">
        <v>221</v>
      </c>
      <c r="B24" s="42" t="n">
        <f aca="false">MAX(B12/(B4*1000000000000),B21/(B3*1000000000000))</f>
        <v>0.00417910447761194</v>
      </c>
    </row>
    <row r="25" customFormat="false" ht="15" hidden="false" customHeight="true" outlineLevel="0" collapsed="false">
      <c r="A25" s="12" t="s">
        <v>205</v>
      </c>
      <c r="B25" s="36" t="n">
        <f aca="false">1/B24</f>
        <v>239.285714285714</v>
      </c>
    </row>
    <row r="26" customFormat="false" ht="15" hidden="false" customHeight="true" outlineLevel="0" collapsed="false">
      <c r="A26" s="12" t="s">
        <v>222</v>
      </c>
      <c r="B26" s="36" t="n">
        <f aca="false">B9/B24</f>
        <v>239.285714285714</v>
      </c>
    </row>
    <row r="28" customFormat="false" ht="15" hidden="false" customHeight="true" outlineLevel="0" collapsed="false">
      <c r="A28" s="11" t="s">
        <v>223</v>
      </c>
      <c r="B28" s="11" t="s">
        <v>215</v>
      </c>
    </row>
    <row r="29" customFormat="false" ht="15" hidden="false" customHeight="true" outlineLevel="0" collapsed="false">
      <c r="A29" s="12" t="s">
        <v>224</v>
      </c>
      <c r="B29" s="41" t="n">
        <v>4.8</v>
      </c>
    </row>
    <row r="30" customFormat="false" ht="15" hidden="false" customHeight="true" outlineLevel="0" collapsed="false">
      <c r="A30" s="16" t="s">
        <v>225</v>
      </c>
      <c r="B30" s="39" t="n">
        <f aca="false">B3/B29</f>
        <v>206.041666666667</v>
      </c>
    </row>
    <row r="32" customFormat="false" ht="15" hidden="false" customHeight="true" outlineLevel="0" collapsed="false">
      <c r="A32" s="12" t="s">
        <v>226</v>
      </c>
      <c r="B32" s="41" t="n">
        <v>4</v>
      </c>
    </row>
    <row r="33" customFormat="false" ht="30" hidden="false" customHeight="true" outlineLevel="0" collapsed="false">
      <c r="A33" s="11" t="s">
        <v>227</v>
      </c>
      <c r="B33" s="11" t="s">
        <v>228</v>
      </c>
      <c r="C33" s="11" t="s">
        <v>229</v>
      </c>
    </row>
    <row r="34" customFormat="false" ht="15" hidden="false" customHeight="true" outlineLevel="0" collapsed="false">
      <c r="A34" s="12" t="s">
        <v>230</v>
      </c>
      <c r="B34" s="30" t="n">
        <v>50</v>
      </c>
      <c r="C34" s="38" t="n">
        <f aca="false">B34/$B$32</f>
        <v>12.5</v>
      </c>
    </row>
    <row r="35" customFormat="false" ht="15" hidden="false" customHeight="true" outlineLevel="0" collapsed="false">
      <c r="A35" s="12" t="s">
        <v>231</v>
      </c>
      <c r="B35" s="30" t="n">
        <v>120</v>
      </c>
      <c r="C35" s="38" t="n">
        <f aca="false">B35/$B$32</f>
        <v>30</v>
      </c>
    </row>
    <row r="36" customFormat="false" ht="15" hidden="false" customHeight="true" outlineLevel="0" collapsed="false">
      <c r="A36" s="12" t="s">
        <v>232</v>
      </c>
      <c r="B36" s="30" t="n">
        <v>136</v>
      </c>
      <c r="C36" s="38" t="n">
        <f aca="false">B36/$B$32</f>
        <v>34</v>
      </c>
    </row>
    <row r="37" customFormat="false" ht="15" hidden="false" customHeight="true" outlineLevel="0" collapsed="false">
      <c r="A37" s="12" t="s">
        <v>233</v>
      </c>
      <c r="B37" s="30" t="n">
        <v>1000</v>
      </c>
      <c r="C37" s="38" t="n">
        <f aca="false">B37/$B$32</f>
        <v>250</v>
      </c>
    </row>
    <row r="39" customFormat="false" ht="15" hidden="false" customHeight="true" outlineLevel="0" collapsed="false">
      <c r="A39" s="19" t="s">
        <v>234</v>
      </c>
    </row>
    <row r="40" customFormat="false" ht="15" hidden="false" customHeight="true" outlineLevel="0" collapsed="false">
      <c r="A40" s="19" t="s">
        <v>235</v>
      </c>
    </row>
    <row r="41" customFormat="false" ht="15" hidden="false" customHeight="true" outlineLevel="0" collapsed="false">
      <c r="A41" s="19"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2026-10-01T17:51:37Z</dcterms:created>
  <dc:creator>Leonhard Korowajczuk</dc:creator>
  <dc:description/>
  <dc:language>en-US</dc:language>
  <cp:lastModifiedBy>Leonhard Korowajczuk</cp:lastModifiedBy>
  <dcterms:modified xsi:type="dcterms:W3CDTF">2026-10-20T17:46:34Z</dcterms:modified>
  <cp:revision>0</cp:revision>
  <dc:subject/>
  <dc:title>Neural Network Essentials for LLMs — companion workbook</dc:title>
</cp:coreProperties>
</file>

<file path=docProps/custom.xml><?xml version="1.0" encoding="utf-8"?>
<Properties xmlns="http://schemas.openxmlformats.org/officeDocument/2006/custom-properties" xmlns:vt="http://schemas.openxmlformats.org/officeDocument/2006/docPropsVTypes"/>
</file>