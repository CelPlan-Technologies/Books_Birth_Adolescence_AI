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bjectives" sheetId="2" state="visible" r:id="rId4"/>
    <sheet name="Encoder Parameters" sheetId="3" state="visible" r:id="rId5"/>
    <sheet name="Encoder–Decoder Cost" sheetId="4" state="visible" r:id="rId6"/>
    <sheet name="Box Throughput" sheetId="5" state="visible" r:id="rId7"/>
  </sheets>
  <calcPr iterateCount="100" refMode="A1" iterate="false" iterateDelta="0.0001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<sst xmlns="http://schemas.openxmlformats.org/spreadsheetml/2006/main" count="122" uniqueCount="116">
  <si>
    <t xml:space="preserve">Chapter 5 — Encoder, Decoder, Encoder–Decoder: The Three Families</t>
  </si>
  <si>
    <t xml:space="preserve">Companion workbook of The Birth and Adolescence of Artificial Intelligence, Volume 1, by Leonhard Korowajczuk. Blue cells on a light yellow background are inputs: change them and every result recalculates.</t>
  </si>
  <si>
    <t xml:space="preserve">Sheet</t>
  </si>
  <si>
    <t xml:space="preserve">What it computes</t>
  </si>
  <si>
    <t xml:space="preserve">Book reference</t>
  </si>
  <si>
    <t xml:space="preserve">Objectives</t>
  </si>
  <si>
    <t xml:space="preserve">Predictions per training sequence under causal LM, MLM, RTD and span corruption, in whole tokens.</t>
  </si>
  <si>
    <t xml:space="preserve">Worked Example 5.1</t>
  </si>
  <si>
    <t xml:space="preserve">Encoder Parameters</t>
  </si>
  <si>
    <t xml:space="preserve">Parameters and FLOPs of any BERT-style encoder, compared with an 8B decoder.</t>
  </si>
  <si>
    <t xml:space="preserve">Table 5.2, Worked Example 5.2</t>
  </si>
  <si>
    <t xml:space="preserve">Encoder–Decoder Cost</t>
  </si>
  <si>
    <t xml:space="preserve">FLOPs, weight reads and KV cache for a long-input, short-output task, with attention scores.</t>
  </si>
  <si>
    <t xml:space="preserve">Worked Example 5.3</t>
  </si>
  <si>
    <t xml:space="preserve">Box Throughput</t>
  </si>
  <si>
    <t xml:space="preserve">Time to classify a corpus with an encoder or a decoder on a Box GPU or a laptop CPU.</t>
  </si>
  <si>
    <t xml:space="preserve">Worked Example 5.4</t>
  </si>
  <si>
    <t xml:space="preserve">Notes</t>
  </si>
  <si>
    <t xml:space="preserve">Units are decimal: 1 MB = 10^6 bytes, 1 GB = 10^9 bytes. Notation follows Table P.2 (n, d, L, d_ff, n_vocab).</t>
  </si>
  <si>
    <t xml:space="preserve">Training Predictions per Sequence (Worked Example 5.1)</t>
  </si>
  <si>
    <t xml:space="preserve">Sequence length n (tokens)</t>
  </si>
  <si>
    <t xml:space="preserve">Masking / corruption rate</t>
  </si>
  <si>
    <t xml:space="preserve">Mean span length (span corruption)</t>
  </si>
  <si>
    <t xml:space="preserve">Objective</t>
  </si>
  <si>
    <t xml:space="preserve">Predictions per sequence</t>
  </si>
  <si>
    <t xml:space="preserve">Ratio to causal LM</t>
  </si>
  <si>
    <t xml:space="preserve">Causal LM</t>
  </si>
  <si>
    <t xml:space="preserve">Every position predicts its successor</t>
  </si>
  <si>
    <t xml:space="preserve">Masked LM</t>
  </si>
  <si>
    <t xml:space="preserve">Masked positions only (n × rate, rounded to whole tokens)</t>
  </si>
  <si>
    <t xml:space="preserve">Replaced-token detection</t>
  </si>
  <si>
    <t xml:space="preserve">Binary decision at every position</t>
  </si>
  <si>
    <t xml:space="preserve">Span corruption: decoder target</t>
  </si>
  <si>
    <t xml:space="preserve">Missing tokens + one sentinel per span + end token</t>
  </si>
  <si>
    <t xml:space="preserve">Span corruption: encoder input length</t>
  </si>
  <si>
    <t xml:space="preserve">Number of spans</t>
  </si>
  <si>
    <t xml:space="preserve">Causal LM predictions per MLM prediction</t>
  </si>
  <si>
    <t xml:space="preserve">RTD predictions per MLM prediction</t>
  </si>
  <si>
    <t xml:space="preserve">Masked tokens and spans are whole numbers, as in the text: 0.15 × 512 = 76.8 → 77 masked tokens, 77 ÷ 3 → 26 spans. ModernBERT masks 30% (set the rate to 0.30).</t>
  </si>
  <si>
    <t xml:space="preserve">BERT-Style Encoder: Parameters and FLOPs (Table 5.2, Worked Example 5.2)</t>
  </si>
  <si>
    <t xml:space="preserve">Vocabulary n_vocab</t>
  </si>
  <si>
    <t xml:space="preserve">Max positions</t>
  </si>
  <si>
    <t xml:space="preserve">Segment types</t>
  </si>
  <si>
    <t xml:space="preserve">Model dimension d</t>
  </si>
  <si>
    <t xml:space="preserve">Layers L</t>
  </si>
  <si>
    <t xml:space="preserve">Feed-forward size d_ff</t>
  </si>
  <si>
    <t xml:space="preserve">Passage length n (tokens)</t>
  </si>
  <si>
    <t xml:space="preserve">Effective compute (TFLOP/s)</t>
  </si>
  <si>
    <t xml:space="preserve">Decoder FLOPs per generated token, 8B decoder (GFLOPs, Section 4.8)</t>
  </si>
  <si>
    <t xml:space="preserve">Quantity</t>
  </si>
  <si>
    <t xml:space="preserve">Value</t>
  </si>
  <si>
    <t xml:space="preserve">Token embeddings</t>
  </si>
  <si>
    <t xml:space="preserve">Position embeddings</t>
  </si>
  <si>
    <t xml:space="preserve">Segment embeddings</t>
  </si>
  <si>
    <t xml:space="preserve">Embedding LayerNorm</t>
  </si>
  <si>
    <t xml:space="preserve">Embeddings, total</t>
  </si>
  <si>
    <t xml:space="preserve">Attention per layer = 4(d²+d)</t>
  </si>
  <si>
    <t xml:space="preserve">Feed-forward per layer</t>
  </si>
  <si>
    <t xml:space="preserve">LayerNorms per layer</t>
  </si>
  <si>
    <t xml:space="preserve">One layer</t>
  </si>
  <si>
    <t xml:space="preserve">All layers</t>
  </si>
  <si>
    <t xml:space="preserve">Pooler</t>
  </si>
  <si>
    <t xml:space="preserve">Total parameters</t>
  </si>
  <si>
    <t xml:space="preserve">Embedding share</t>
  </si>
  <si>
    <t xml:space="preserve">Matrix-product FLOPs per token (MFLOPs) = 2 × layer parameters</t>
  </si>
  <si>
    <t xml:space="preserve">Bidirectional attention FLOPs per token (MFLOPs) = 4·n·d·L</t>
  </si>
  <si>
    <t xml:space="preserve">FLOPs per passage (GFLOPs)</t>
  </si>
  <si>
    <t xml:space="preserve">Passages per second at the effective compute</t>
  </si>
  <si>
    <t xml:space="preserve">Decoder tokens with the FLOPs of one passage</t>
  </si>
  <si>
    <t xml:space="preserve">Defaults reproduce BERT-base (Table 5.2): 109,482,240 parameters and ≈ 97 GFLOPs per 512-token passage, less than seven tokens of an 8B decoder.</t>
  </si>
  <si>
    <t xml:space="preserve">Long Input, Short Output: Encoder–Decoder versus Decoder-Only (Worked Example 5.3)</t>
  </si>
  <si>
    <t xml:space="preserve">Decoder-only layers</t>
  </si>
  <si>
    <t xml:space="preserve">Encoder layers</t>
  </si>
  <si>
    <t xml:space="preserve">Decoder layers (encoder–decoder)</t>
  </si>
  <si>
    <t xml:space="preserve">Input tokens</t>
  </si>
  <si>
    <t xml:space="preserve">Output tokens</t>
  </si>
  <si>
    <t xml:space="preserve">Bytes per KV value</t>
  </si>
  <si>
    <t xml:space="preserve">Decoder-only</t>
  </si>
  <si>
    <t xml:space="preserve">Encoder–decoder</t>
  </si>
  <si>
    <t xml:space="preserve">Parameters (billions)</t>
  </si>
  <si>
    <t xml:space="preserve">FLOPs (TFLOPs)</t>
  </si>
  <si>
    <t xml:space="preserve">Weights read per output token (billions)</t>
  </si>
  <si>
    <t xml:space="preserve">KV cache (MB)</t>
  </si>
  <si>
    <t xml:space="preserve">Attention-score FLOPs (TFLOPs)</t>
  </si>
  <si>
    <t xml:space="preserve">Encoder–decoder FLOPs as share of decoder-only</t>
  </si>
  <si>
    <t xml:space="preserve">Encoder–decoder weight reads per output token as share</t>
  </si>
  <si>
    <t xml:space="preserve">Encoder–decoder KV cache as share</t>
  </si>
  <si>
    <t xml:space="preserve">FLOPs share including attention-score FLOPs</t>
  </si>
  <si>
    <t xml:space="preserve">Breakdown</t>
  </si>
  <si>
    <t xml:space="preserve">Parameters per layer, 12d² (millions)</t>
  </si>
  <si>
    <t xml:space="preserve">Encoder parameters, 12d² per layer (billions)</t>
  </si>
  <si>
    <t xml:space="preserve">Decoder parameters, 16d² per layer (billions)</t>
  </si>
  <si>
    <t xml:space="preserve">Encoder over the input tokens (TFLOPs)</t>
  </si>
  <si>
    <t xml:space="preserve">Cross-attention K and V on the encoder outputs (TFLOPs)</t>
  </si>
  <si>
    <t xml:space="preserve">Rest of the decoder, 14d² per layer, output tokens (TFLOPs)</t>
  </si>
  <si>
    <t xml:space="preserve">Blocks: attention 4d², feed-forward 8d² (d_ff = 4d), cross-attention 4d² (K and V projections applied once to the encoder outputs).</t>
  </si>
  <si>
    <t xml:space="preserve">Attention scores (row 16): 4·n·d FLOPs per token and layer bidirectional, 2·n·d on average causal (Section 4.7).</t>
  </si>
  <si>
    <t xml:space="preserve">Classifying a Corpus: Encoder versus Decoder (Worked Example 5.4)</t>
  </si>
  <si>
    <t xml:space="preserve">Documents</t>
  </si>
  <si>
    <t xml:space="preserve">Tokens per document</t>
  </si>
  <si>
    <t xml:space="preserve">Encoder non-embedding parameters (M)</t>
  </si>
  <si>
    <t xml:space="preserve">Decoder parameters in matrix products (B)</t>
  </si>
  <si>
    <t xml:space="preserve">GPU effective compute (TFLOP/s)</t>
  </si>
  <si>
    <t xml:space="preserve">CPU effective compute (TFLOP/s)</t>
  </si>
  <si>
    <t xml:space="preserve">Encoder</t>
  </si>
  <si>
    <t xml:space="preserve">Decoder</t>
  </si>
  <si>
    <t xml:space="preserve">Total tokens</t>
  </si>
  <si>
    <t xml:space="preserve">FLOPs per token (GFLOPs)</t>
  </si>
  <si>
    <t xml:space="preserve">Total FLOPs</t>
  </si>
  <si>
    <t xml:space="preserve">Time on GPU (seconds)</t>
  </si>
  <si>
    <t xml:space="preserve">Time on GPU (hours)</t>
  </si>
  <si>
    <t xml:space="preserve">Time on CPU (hours)</t>
  </si>
  <si>
    <t xml:space="preserve">Time on CPU (days)</t>
  </si>
  <si>
    <t xml:space="preserve">Decoder ÷ encoder compute</t>
  </si>
  <si>
    <t xml:space="preserve">Defaults: ModernBERT-base (149 M less 38.7 M of embeddings = 110 M) and Llama 3.1 8B (7.5 B outside the input embedding, ≈ 15 GFLOPs per token, Section 4.8).</t>
  </si>
  <si>
    <t xml:space="preserve">Prompt instructions, output tokens and attention (roughly 10% for the encoder at 300 tokens) are ignored.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</si>
</sst>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%"/>
    <numFmt numFmtId="167" formatCode="0.0"/>
    <numFmt numFmtId="168" formatCode="0.00"/>
    <numFmt numFmtId="169" formatCode="#,##0.##"/>
    <numFmt numFmtId="170" formatCode="0.0%"/>
    <numFmt numFmtId="171" formatCode="#,##0.0"/>
    <numFmt numFmtId="172" formatCode="0"/>
    <numFmt numFmtId="173" formatCode="0.00E+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A6410"/>
      <name val="Arial"/>
      <family val="0"/>
      <charset val="1"/>
    </font>
    <font>
      <sz val="9"/>
      <color rgb="FF595959"/>
      <name val="Arial"/>
      <family val="0"/>
      <charset val="1"/>
    </font>
    <font>
      <sz val="11"/>
      <name val="Cambria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3"/>
      <color rgb="FF8A64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7EFDD"/>
        <bgColor rgb="FFFFF9E6"/>
      </patternFill>
    </fill>
    <fill>
      <patternFill patternType="solid">
        <fgColor rgb="FFFFF9E6"/>
        <bgColor rgb="FFF7EF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410"/>
      <rgbColor rgb="FF800080"/>
      <rgbColor rgb="FF008080"/>
      <rgbColor rgb="FFBFBFBF"/>
      <rgbColor rgb="FF808080"/>
      <rgbColor rgb="FF9999FF"/>
      <rgbColor rgb="FF993366"/>
      <rgbColor rgb="FFF7EFD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0" width="72"/>
    <col collapsed="false" customWidth="true" hidden="false" outlineLevel="0" max="3" min="3" style="0" width="40"/>
  </cols>
  <sheetData>
    <row r="1" customFormat="false" ht="15.75" hidden="false" customHeight="true" outlineLevel="0" collapsed="false">
      <c r="A1" s="2" t="s">
        <v>0</v>
      </c>
    </row>
    <row r="2" customFormat="false" ht="30" hidden="false" customHeight="true" outlineLevel="0" collapsed="false">
      <c r="A2" s="3" t="s">
        <v>1</v>
      </c>
      <c r="B2" s="3"/>
      <c r="C2" s="3"/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  <c r="B4" s="5" t="s">
        <v>3</v>
      </c>
      <c r="C4" s="5" t="s">
        <v>4</v>
      </c>
    </row>
    <row r="5" customFormat="false" ht="30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15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30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30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8" t="s">
        <v>17</v>
      </c>
    </row>
    <row r="11" customFormat="false" ht="15" hidden="false" customHeight="true" outlineLevel="0" collapsed="false">
      <c r="A11" s="9" t="s">
        <v>18</v>
      </c>
      <c r="B11" s="9"/>
      <c r="C11" s="9"/>
    </row>
    <row r="12" customFormat="false" ht="15" hidden="false" customHeight="true" outlineLevel="0" collapsed="false">
      <c r="A12" s="4"/>
    </row>
  </sheetData>
  <mergeCells count="2">
    <mergeCell ref="A2:C2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50"/>
  </cols>
  <sheetData>
    <row r="1" customFormat="false" ht="15.75" hidden="false" customHeight="true" outlineLevel="0" collapsed="false">
      <c r="A1" s="10" t="s">
        <v>19</v>
      </c>
    </row>
    <row r="3" customFormat="false" ht="15" hidden="false" customHeight="true" outlineLevel="0" collapsed="false">
      <c r="A3" s="11" t="s">
        <v>20</v>
      </c>
      <c r="B3" s="12" t="n">
        <v>512</v>
      </c>
    </row>
    <row r="4" customFormat="false" ht="15" hidden="false" customHeight="true" outlineLevel="0" collapsed="false">
      <c r="A4" s="11" t="s">
        <v>21</v>
      </c>
      <c r="B4" s="13" t="n">
        <v>0.15</v>
      </c>
    </row>
    <row r="5" customFormat="false" ht="15" hidden="false" customHeight="true" outlineLevel="0" collapsed="false">
      <c r="A5" s="11" t="s">
        <v>22</v>
      </c>
      <c r="B5" s="14" t="n">
        <v>3</v>
      </c>
    </row>
    <row r="7" customFormat="false" ht="23.25" hidden="false" customHeight="true" outlineLevel="0" collapsed="false">
      <c r="A7" s="15" t="s">
        <v>23</v>
      </c>
      <c r="B7" s="15" t="s">
        <v>24</v>
      </c>
      <c r="C7" s="15" t="s">
        <v>25</v>
      </c>
      <c r="D7" s="15" t="s">
        <v>17</v>
      </c>
    </row>
    <row r="8" customFormat="false" ht="15" hidden="false" customHeight="true" outlineLevel="0" collapsed="false">
      <c r="A8" s="11" t="s">
        <v>26</v>
      </c>
      <c r="B8" s="16" t="n">
        <f aca="false">B3-1</f>
        <v>511</v>
      </c>
      <c r="C8" s="17" t="n">
        <f aca="false">B8/$B$8</f>
        <v>1</v>
      </c>
      <c r="D8" s="18" t="s">
        <v>27</v>
      </c>
    </row>
    <row r="9" customFormat="false" ht="15" hidden="false" customHeight="true" outlineLevel="0" collapsed="false">
      <c r="A9" s="11" t="s">
        <v>28</v>
      </c>
      <c r="B9" s="16" t="n">
        <f aca="false">ROUND(B3*B4,0)</f>
        <v>77</v>
      </c>
      <c r="C9" s="17" t="n">
        <f aca="false">B9/$B$8</f>
        <v>0.150684931506849</v>
      </c>
      <c r="D9" s="18" t="s">
        <v>29</v>
      </c>
    </row>
    <row r="10" customFormat="false" ht="15" hidden="false" customHeight="true" outlineLevel="0" collapsed="false">
      <c r="A10" s="11" t="s">
        <v>30</v>
      </c>
      <c r="B10" s="16" t="n">
        <f aca="false">B3</f>
        <v>512</v>
      </c>
      <c r="C10" s="17" t="n">
        <f aca="false">B10/$B$8</f>
        <v>1.00195694716243</v>
      </c>
      <c r="D10" s="18" t="s">
        <v>31</v>
      </c>
    </row>
    <row r="11" customFormat="false" ht="15" hidden="false" customHeight="true" outlineLevel="0" collapsed="false">
      <c r="A11" s="11" t="s">
        <v>32</v>
      </c>
      <c r="B11" s="16" t="n">
        <f aca="false">B9+B14+1</f>
        <v>104</v>
      </c>
      <c r="C11" s="17" t="n">
        <f aca="false">B11/$B$8</f>
        <v>0.203522504892368</v>
      </c>
      <c r="D11" s="18" t="s">
        <v>33</v>
      </c>
    </row>
    <row r="13" customFormat="false" ht="15" hidden="false" customHeight="true" outlineLevel="0" collapsed="false">
      <c r="A13" s="11" t="s">
        <v>34</v>
      </c>
      <c r="B13" s="19" t="n">
        <f aca="false">B3-B9+B14</f>
        <v>461</v>
      </c>
    </row>
    <row r="14" customFormat="false" ht="15" hidden="false" customHeight="true" outlineLevel="0" collapsed="false">
      <c r="A14" s="11" t="s">
        <v>35</v>
      </c>
      <c r="B14" s="19" t="n">
        <f aca="false">ROUND(B9/B5,0)</f>
        <v>26</v>
      </c>
    </row>
    <row r="15" customFormat="false" ht="15" hidden="false" customHeight="true" outlineLevel="0" collapsed="false">
      <c r="A15" s="11" t="s">
        <v>36</v>
      </c>
      <c r="B15" s="20" t="n">
        <f aca="false">B8/B9</f>
        <v>6.63636363636364</v>
      </c>
    </row>
    <row r="16" customFormat="false" ht="15" hidden="false" customHeight="true" outlineLevel="0" collapsed="false">
      <c r="A16" s="11" t="s">
        <v>37</v>
      </c>
      <c r="B16" s="20" t="n">
        <f aca="false">B10/B9</f>
        <v>6.64935064935065</v>
      </c>
    </row>
    <row r="18" customFormat="false" ht="15" hidden="false" customHeight="true" outlineLevel="0" collapsed="false">
      <c r="A18" s="21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2"/>
    <col collapsed="false" customWidth="true" hidden="false" outlineLevel="0" max="2" min="2" style="1" width="18"/>
  </cols>
  <sheetData>
    <row r="1" customFormat="false" ht="15.75" hidden="false" customHeight="true" outlineLevel="0" collapsed="false">
      <c r="A1" s="10" t="s">
        <v>39</v>
      </c>
    </row>
    <row r="3" customFormat="false" ht="15" hidden="false" customHeight="true" outlineLevel="0" collapsed="false">
      <c r="A3" s="11" t="s">
        <v>40</v>
      </c>
      <c r="B3" s="22" t="n">
        <v>30522</v>
      </c>
    </row>
    <row r="4" customFormat="false" ht="15" hidden="false" customHeight="true" outlineLevel="0" collapsed="false">
      <c r="A4" s="11" t="s">
        <v>41</v>
      </c>
      <c r="B4" s="22" t="n">
        <v>512</v>
      </c>
    </row>
    <row r="5" customFormat="false" ht="15" hidden="false" customHeight="true" outlineLevel="0" collapsed="false">
      <c r="A5" s="11" t="s">
        <v>42</v>
      </c>
      <c r="B5" s="22" t="n">
        <v>2</v>
      </c>
    </row>
    <row r="6" customFormat="false" ht="15" hidden="false" customHeight="true" outlineLevel="0" collapsed="false">
      <c r="A6" s="11" t="s">
        <v>43</v>
      </c>
      <c r="B6" s="22" t="n">
        <v>768</v>
      </c>
    </row>
    <row r="7" customFormat="false" ht="15" hidden="false" customHeight="true" outlineLevel="0" collapsed="false">
      <c r="A7" s="11" t="s">
        <v>44</v>
      </c>
      <c r="B7" s="22" t="n">
        <v>12</v>
      </c>
    </row>
    <row r="8" customFormat="false" ht="15" hidden="false" customHeight="true" outlineLevel="0" collapsed="false">
      <c r="A8" s="11" t="s">
        <v>45</v>
      </c>
      <c r="B8" s="22" t="n">
        <v>3072</v>
      </c>
    </row>
    <row r="9" customFormat="false" ht="15" hidden="false" customHeight="true" outlineLevel="0" collapsed="false">
      <c r="A9" s="11" t="s">
        <v>46</v>
      </c>
      <c r="B9" s="22" t="n">
        <v>512</v>
      </c>
    </row>
    <row r="10" customFormat="false" ht="15" hidden="false" customHeight="true" outlineLevel="0" collapsed="false">
      <c r="A10" s="11" t="s">
        <v>47</v>
      </c>
      <c r="B10" s="22" t="n">
        <v>1</v>
      </c>
    </row>
    <row r="11" customFormat="false" ht="15" hidden="false" customHeight="true" outlineLevel="0" collapsed="false">
      <c r="A11" s="11" t="s">
        <v>48</v>
      </c>
      <c r="B11" s="22" t="n">
        <v>15</v>
      </c>
    </row>
    <row r="13" customFormat="false" ht="15" hidden="false" customHeight="true" outlineLevel="0" collapsed="false">
      <c r="A13" s="15" t="s">
        <v>49</v>
      </c>
      <c r="B13" s="15" t="s">
        <v>50</v>
      </c>
    </row>
    <row r="14" customFormat="false" ht="15" hidden="false" customHeight="true" outlineLevel="0" collapsed="false">
      <c r="A14" s="11" t="s">
        <v>51</v>
      </c>
      <c r="B14" s="19" t="n">
        <f aca="false">B3*B6</f>
        <v>23440896</v>
      </c>
    </row>
    <row r="15" customFormat="false" ht="15" hidden="false" customHeight="true" outlineLevel="0" collapsed="false">
      <c r="A15" s="11" t="s">
        <v>52</v>
      </c>
      <c r="B15" s="19" t="n">
        <f aca="false">B4*B6</f>
        <v>393216</v>
      </c>
    </row>
    <row r="16" customFormat="false" ht="15" hidden="false" customHeight="true" outlineLevel="0" collapsed="false">
      <c r="A16" s="11" t="s">
        <v>53</v>
      </c>
      <c r="B16" s="19" t="n">
        <f aca="false">B5*B6</f>
        <v>1536</v>
      </c>
    </row>
    <row r="17" customFormat="false" ht="15" hidden="false" customHeight="true" outlineLevel="0" collapsed="false">
      <c r="A17" s="11" t="s">
        <v>54</v>
      </c>
      <c r="B17" s="19" t="n">
        <f aca="false">2*B6</f>
        <v>1536</v>
      </c>
    </row>
    <row r="18" customFormat="false" ht="15" hidden="false" customHeight="true" outlineLevel="0" collapsed="false">
      <c r="A18" s="11" t="s">
        <v>55</v>
      </c>
      <c r="B18" s="19" t="n">
        <f aca="false">SUM(B14:B17)</f>
        <v>23837184</v>
      </c>
    </row>
    <row r="19" customFormat="false" ht="15" hidden="false" customHeight="true" outlineLevel="0" collapsed="false">
      <c r="A19" s="11" t="s">
        <v>56</v>
      </c>
      <c r="B19" s="19" t="n">
        <f aca="false">4*(B6^2+B6)</f>
        <v>2362368</v>
      </c>
    </row>
    <row r="20" customFormat="false" ht="15" hidden="false" customHeight="true" outlineLevel="0" collapsed="false">
      <c r="A20" s="11" t="s">
        <v>57</v>
      </c>
      <c r="B20" s="19" t="n">
        <f aca="false">B6*B8+B8+B8*B6+B6</f>
        <v>4722432</v>
      </c>
    </row>
    <row r="21" customFormat="false" ht="15" hidden="false" customHeight="true" outlineLevel="0" collapsed="false">
      <c r="A21" s="11" t="s">
        <v>58</v>
      </c>
      <c r="B21" s="19" t="n">
        <f aca="false">4*B6</f>
        <v>3072</v>
      </c>
    </row>
    <row r="22" customFormat="false" ht="15" hidden="false" customHeight="true" outlineLevel="0" collapsed="false">
      <c r="A22" s="11" t="s">
        <v>59</v>
      </c>
      <c r="B22" s="19" t="n">
        <f aca="false">B19+B20+B21</f>
        <v>7087872</v>
      </c>
    </row>
    <row r="23" customFormat="false" ht="15" hidden="false" customHeight="true" outlineLevel="0" collapsed="false">
      <c r="A23" s="11" t="s">
        <v>60</v>
      </c>
      <c r="B23" s="19" t="n">
        <f aca="false">B7*B22</f>
        <v>85054464</v>
      </c>
    </row>
    <row r="24" customFormat="false" ht="15" hidden="false" customHeight="true" outlineLevel="0" collapsed="false">
      <c r="A24" s="11" t="s">
        <v>61</v>
      </c>
      <c r="B24" s="19" t="n">
        <f aca="false">B6^2+B6</f>
        <v>590592</v>
      </c>
    </row>
    <row r="25" customFormat="false" ht="15" hidden="false" customHeight="true" outlineLevel="0" collapsed="false">
      <c r="A25" s="23" t="s">
        <v>62</v>
      </c>
      <c r="B25" s="16" t="n">
        <f aca="false">B18+B23+B24</f>
        <v>109482240</v>
      </c>
    </row>
    <row r="26" customFormat="false" ht="15" hidden="false" customHeight="true" outlineLevel="0" collapsed="false">
      <c r="A26" s="11" t="s">
        <v>63</v>
      </c>
      <c r="B26" s="24" t="n">
        <f aca="false">B18/B25</f>
        <v>0.217726491529585</v>
      </c>
    </row>
    <row r="27" customFormat="false" ht="15" hidden="false" customHeight="true" outlineLevel="0" collapsed="false">
      <c r="A27" s="11" t="s">
        <v>64</v>
      </c>
      <c r="B27" s="25" t="n">
        <f aca="false">2*B23/1000000</f>
        <v>170.108928</v>
      </c>
    </row>
    <row r="28" customFormat="false" ht="15" hidden="false" customHeight="true" outlineLevel="0" collapsed="false">
      <c r="A28" s="11" t="s">
        <v>65</v>
      </c>
      <c r="B28" s="25" t="n">
        <f aca="false">4*B9*B6*B7/1000000</f>
        <v>18.874368</v>
      </c>
    </row>
    <row r="29" customFormat="false" ht="15" hidden="false" customHeight="true" outlineLevel="0" collapsed="false">
      <c r="A29" s="23" t="s">
        <v>66</v>
      </c>
      <c r="B29" s="26" t="n">
        <f aca="false">B9*(B27+B28)/1000</f>
        <v>96.759447552</v>
      </c>
    </row>
    <row r="30" customFormat="false" ht="15" hidden="false" customHeight="true" outlineLevel="0" collapsed="false">
      <c r="A30" s="23" t="s">
        <v>67</v>
      </c>
      <c r="B30" s="26" t="n">
        <f aca="false">B10*1000000000000/(B29*1000000000)</f>
        <v>10.334908118017</v>
      </c>
    </row>
    <row r="31" customFormat="false" ht="15" hidden="false" customHeight="true" outlineLevel="0" collapsed="false">
      <c r="A31" s="23" t="s">
        <v>68</v>
      </c>
      <c r="B31" s="26" t="n">
        <f aca="false">B29/B11</f>
        <v>6.4506298368</v>
      </c>
    </row>
    <row r="32" customFormat="false" ht="15" hidden="false" customHeight="true" outlineLevel="0" collapsed="false">
      <c r="A32" s="27"/>
    </row>
    <row r="34" customFormat="false" ht="15" hidden="false" customHeight="true" outlineLevel="0" collapsed="false">
      <c r="A34" s="21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6"/>
    <col collapsed="false" customWidth="true" hidden="false" outlineLevel="0" max="3" min="3" style="1" width="18"/>
  </cols>
  <sheetData>
    <row r="1" customFormat="false" ht="15.75" hidden="false" customHeight="true" outlineLevel="0" collapsed="false">
      <c r="A1" s="10" t="s">
        <v>70</v>
      </c>
    </row>
    <row r="3" customFormat="false" ht="15" hidden="false" customHeight="true" outlineLevel="0" collapsed="false">
      <c r="A3" s="11" t="s">
        <v>43</v>
      </c>
      <c r="B3" s="12" t="n">
        <v>2048</v>
      </c>
    </row>
    <row r="4" customFormat="false" ht="15" hidden="false" customHeight="true" outlineLevel="0" collapsed="false">
      <c r="A4" s="11" t="s">
        <v>71</v>
      </c>
      <c r="B4" s="28" t="n">
        <v>24</v>
      </c>
    </row>
    <row r="5" customFormat="false" ht="15" hidden="false" customHeight="true" outlineLevel="0" collapsed="false">
      <c r="A5" s="11" t="s">
        <v>72</v>
      </c>
      <c r="B5" s="28" t="n">
        <v>12</v>
      </c>
    </row>
    <row r="6" customFormat="false" ht="15" hidden="false" customHeight="true" outlineLevel="0" collapsed="false">
      <c r="A6" s="11" t="s">
        <v>73</v>
      </c>
      <c r="B6" s="28" t="n">
        <v>12</v>
      </c>
    </row>
    <row r="7" customFormat="false" ht="15" hidden="false" customHeight="true" outlineLevel="0" collapsed="false">
      <c r="A7" s="11" t="s">
        <v>74</v>
      </c>
      <c r="B7" s="12" t="n">
        <v>3000</v>
      </c>
    </row>
    <row r="8" customFormat="false" ht="15" hidden="false" customHeight="true" outlineLevel="0" collapsed="false">
      <c r="A8" s="11" t="s">
        <v>75</v>
      </c>
      <c r="B8" s="12" t="n">
        <v>300</v>
      </c>
    </row>
    <row r="9" customFormat="false" ht="15" hidden="false" customHeight="true" outlineLevel="0" collapsed="false">
      <c r="A9" s="11" t="s">
        <v>76</v>
      </c>
      <c r="B9" s="28" t="n">
        <v>2</v>
      </c>
    </row>
    <row r="11" customFormat="false" ht="15" hidden="false" customHeight="true" outlineLevel="0" collapsed="false">
      <c r="A11" s="15" t="s">
        <v>49</v>
      </c>
      <c r="B11" s="15" t="s">
        <v>77</v>
      </c>
      <c r="C11" s="15" t="s">
        <v>78</v>
      </c>
    </row>
    <row r="12" customFormat="false" ht="15" hidden="false" customHeight="true" outlineLevel="0" collapsed="false">
      <c r="A12" s="11" t="s">
        <v>79</v>
      </c>
      <c r="B12" s="29" t="n">
        <f aca="false">B4*12*B3^2/1000000000</f>
        <v>1.207959552</v>
      </c>
      <c r="C12" s="29" t="n">
        <f aca="false">(B5*12+B6*16)*B3^2/1000000000</f>
        <v>1.409286144</v>
      </c>
    </row>
    <row r="13" customFormat="false" ht="15" hidden="false" customHeight="true" outlineLevel="0" collapsed="false">
      <c r="A13" s="11" t="s">
        <v>80</v>
      </c>
      <c r="B13" s="29" t="n">
        <f aca="false">2*B4*12*B3^2*(B7+B8)/1000000000000</f>
        <v>7.9725330432</v>
      </c>
      <c r="C13" s="29" t="n">
        <f aca="false">2*B3^2*(B5*12*B7+B6*2*B7+B6*14*B8)/1000000000000</f>
        <v>4.6506442752</v>
      </c>
    </row>
    <row r="14" customFormat="false" ht="15" hidden="false" customHeight="true" outlineLevel="0" collapsed="false">
      <c r="A14" s="11" t="s">
        <v>81</v>
      </c>
      <c r="B14" s="29" t="n">
        <f aca="false">B4*12*B3^2/1000000000</f>
        <v>1.207959552</v>
      </c>
      <c r="C14" s="29" t="n">
        <f aca="false">B6*14*B3^2/1000000000</f>
        <v>0.704643072</v>
      </c>
    </row>
    <row r="15" customFormat="false" ht="15" hidden="false" customHeight="true" outlineLevel="0" collapsed="false">
      <c r="A15" s="11" t="s">
        <v>82</v>
      </c>
      <c r="B15" s="16" t="n">
        <f aca="false">B4*(B7+B8)*2*B3*B9/1000000</f>
        <v>648.8064</v>
      </c>
      <c r="C15" s="16" t="n">
        <f aca="false">B6*(B7+B8)*2*B3*B9/1000000</f>
        <v>324.4032</v>
      </c>
    </row>
    <row r="16" customFormat="false" ht="15" hidden="false" customHeight="true" outlineLevel="0" collapsed="false">
      <c r="A16" s="11" t="s">
        <v>83</v>
      </c>
      <c r="B16" s="29" t="n">
        <f aca="false">B4*2*B3*(B7+B8)^2/1000000000000</f>
        <v>1.07053056</v>
      </c>
      <c r="C16" s="29" t="n">
        <f aca="false">(4*B5*B3*B7^2+2*B6*B3*B8^2+4*B6*B3*B7*B8)/1000000000000</f>
        <v>0.97763328</v>
      </c>
    </row>
    <row r="17" customFormat="false" ht="15" hidden="false" customHeight="true" outlineLevel="0" collapsed="false">
      <c r="A17" s="27"/>
      <c r="C17" s="27"/>
    </row>
    <row r="18" customFormat="false" ht="15" hidden="false" customHeight="true" outlineLevel="0" collapsed="false">
      <c r="A18" s="11" t="s">
        <v>84</v>
      </c>
      <c r="C18" s="30" t="n">
        <f aca="false">C13/B13</f>
        <v>0.583333333333333</v>
      </c>
    </row>
    <row r="19" customFormat="false" ht="15" hidden="false" customHeight="true" outlineLevel="0" collapsed="false">
      <c r="A19" s="11" t="s">
        <v>85</v>
      </c>
      <c r="C19" s="30" t="n">
        <f aca="false">C14/B14</f>
        <v>0.583333333333333</v>
      </c>
    </row>
    <row r="20" customFormat="false" ht="15" hidden="false" customHeight="true" outlineLevel="0" collapsed="false">
      <c r="A20" s="11" t="s">
        <v>86</v>
      </c>
      <c r="C20" s="30" t="n">
        <f aca="false">C15/B15</f>
        <v>0.5</v>
      </c>
    </row>
    <row r="21" customFormat="false" ht="15" hidden="false" customHeight="true" outlineLevel="0" collapsed="false">
      <c r="A21" s="11" t="s">
        <v>87</v>
      </c>
      <c r="C21" s="30" t="n">
        <f aca="false">(C13+C16)/(B13+B16)</f>
        <v>0.622386151658644</v>
      </c>
    </row>
    <row r="23" customFormat="false" ht="15" hidden="false" customHeight="true" outlineLevel="0" collapsed="false">
      <c r="A23" s="15" t="s">
        <v>88</v>
      </c>
      <c r="B23" s="15" t="s">
        <v>77</v>
      </c>
      <c r="C23" s="15" t="s">
        <v>78</v>
      </c>
    </row>
    <row r="24" customFormat="false" ht="15" hidden="false" customHeight="true" outlineLevel="0" collapsed="false">
      <c r="A24" s="11" t="s">
        <v>89</v>
      </c>
      <c r="B24" s="31" t="n">
        <f aca="false">12*B3^2/1000000</f>
        <v>50.331648</v>
      </c>
      <c r="C24" s="32"/>
    </row>
    <row r="25" customFormat="false" ht="15" hidden="false" customHeight="true" outlineLevel="0" collapsed="false">
      <c r="A25" s="11" t="s">
        <v>90</v>
      </c>
      <c r="B25" s="32"/>
      <c r="C25" s="29" t="n">
        <f aca="false">B5*12*B3^2/1000000000</f>
        <v>0.603979776</v>
      </c>
    </row>
    <row r="26" customFormat="false" ht="15" hidden="false" customHeight="true" outlineLevel="0" collapsed="false">
      <c r="A26" s="11" t="s">
        <v>91</v>
      </c>
      <c r="B26" s="32"/>
      <c r="C26" s="29" t="n">
        <f aca="false">B6*16*B3^2/1000000000</f>
        <v>0.805306368</v>
      </c>
    </row>
    <row r="27" customFormat="false" ht="15" hidden="false" customHeight="true" outlineLevel="0" collapsed="false">
      <c r="A27" s="11" t="s">
        <v>92</v>
      </c>
      <c r="B27" s="32"/>
      <c r="C27" s="29" t="n">
        <f aca="false">2*B5*12*B3^2*B7/1000000000000</f>
        <v>3.623878656</v>
      </c>
    </row>
    <row r="28" customFormat="false" ht="15" hidden="false" customHeight="true" outlineLevel="0" collapsed="false">
      <c r="A28" s="11" t="s">
        <v>93</v>
      </c>
      <c r="B28" s="32"/>
      <c r="C28" s="29" t="n">
        <f aca="false">2*B6*2*B3^2*B7/1000000000000</f>
        <v>0.603979776</v>
      </c>
    </row>
    <row r="29" customFormat="false" ht="15" hidden="false" customHeight="true" outlineLevel="0" collapsed="false">
      <c r="A29" s="11" t="s">
        <v>94</v>
      </c>
      <c r="B29" s="32"/>
      <c r="C29" s="29" t="n">
        <f aca="false">2*B6*14*B3^2*B8/1000000000000</f>
        <v>0.4227858432</v>
      </c>
    </row>
    <row r="31" customFormat="false" ht="15" hidden="false" customHeight="true" outlineLevel="0" collapsed="false">
      <c r="A31" s="21" t="s">
        <v>95</v>
      </c>
    </row>
    <row r="32" customFormat="false" ht="15" hidden="false" customHeight="true" outlineLevel="0" collapsed="false">
      <c r="A32" s="21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</cols>
  <sheetData>
    <row r="1" customFormat="false" ht="15.75" hidden="false" customHeight="true" outlineLevel="0" collapsed="false">
      <c r="A1" s="10" t="s">
        <v>97</v>
      </c>
    </row>
    <row r="3" customFormat="false" ht="15" hidden="false" customHeight="true" outlineLevel="0" collapsed="false">
      <c r="A3" s="11" t="s">
        <v>98</v>
      </c>
      <c r="B3" s="12" t="n">
        <v>100000</v>
      </c>
    </row>
    <row r="4" customFormat="false" ht="15" hidden="false" customHeight="true" outlineLevel="0" collapsed="false">
      <c r="A4" s="11" t="s">
        <v>99</v>
      </c>
      <c r="B4" s="12" t="n">
        <v>300</v>
      </c>
    </row>
    <row r="5" customFormat="false" ht="15" hidden="false" customHeight="true" outlineLevel="0" collapsed="false">
      <c r="A5" s="11" t="s">
        <v>100</v>
      </c>
      <c r="B5" s="12" t="n">
        <v>110</v>
      </c>
    </row>
    <row r="6" customFormat="false" ht="15" hidden="false" customHeight="true" outlineLevel="0" collapsed="false">
      <c r="A6" s="11" t="s">
        <v>101</v>
      </c>
      <c r="B6" s="33" t="n">
        <v>7.5</v>
      </c>
    </row>
    <row r="7" customFormat="false" ht="15" hidden="false" customHeight="true" outlineLevel="0" collapsed="false">
      <c r="A7" s="11" t="s">
        <v>102</v>
      </c>
      <c r="B7" s="12" t="n">
        <v>50</v>
      </c>
    </row>
    <row r="8" customFormat="false" ht="15" hidden="false" customHeight="true" outlineLevel="0" collapsed="false">
      <c r="A8" s="11" t="s">
        <v>103</v>
      </c>
      <c r="B8" s="14" t="n">
        <v>1</v>
      </c>
    </row>
    <row r="10" customFormat="false" ht="15" hidden="false" customHeight="true" outlineLevel="0" collapsed="false">
      <c r="A10" s="15" t="s">
        <v>49</v>
      </c>
      <c r="B10" s="15" t="s">
        <v>104</v>
      </c>
      <c r="C10" s="15" t="s">
        <v>105</v>
      </c>
    </row>
    <row r="11" customFormat="false" ht="15" hidden="false" customHeight="true" outlineLevel="0" collapsed="false">
      <c r="A11" s="11" t="s">
        <v>106</v>
      </c>
      <c r="B11" s="16" t="n">
        <f aca="false">B3*B4</f>
        <v>30000000</v>
      </c>
      <c r="C11" s="16" t="n">
        <f aca="false">B3*B4</f>
        <v>30000000</v>
      </c>
    </row>
    <row r="12" customFormat="false" ht="15" hidden="false" customHeight="true" outlineLevel="0" collapsed="false">
      <c r="A12" s="11" t="s">
        <v>107</v>
      </c>
      <c r="B12" s="29" t="n">
        <f aca="false">2*B5/1000</f>
        <v>0.22</v>
      </c>
      <c r="C12" s="29" t="n">
        <f aca="false">2*B6</f>
        <v>15</v>
      </c>
    </row>
    <row r="13" customFormat="false" ht="15" hidden="false" customHeight="true" outlineLevel="0" collapsed="false">
      <c r="A13" s="11" t="s">
        <v>108</v>
      </c>
      <c r="B13" s="34" t="n">
        <f aca="false">B11*B12*1000000000</f>
        <v>6600000000000000</v>
      </c>
      <c r="C13" s="34" t="n">
        <f aca="false">C11*C12*1000000000</f>
        <v>4.5E+017</v>
      </c>
    </row>
    <row r="14" customFormat="false" ht="15" hidden="false" customHeight="true" outlineLevel="0" collapsed="false">
      <c r="A14" s="11" t="s">
        <v>109</v>
      </c>
      <c r="B14" s="16" t="n">
        <f aca="false">B13/(B7*1000000000000)</f>
        <v>132</v>
      </c>
      <c r="C14" s="16" t="n">
        <f aca="false">C13/(B7*1000000000000)</f>
        <v>9000</v>
      </c>
    </row>
    <row r="15" customFormat="false" ht="15" hidden="false" customHeight="true" outlineLevel="0" collapsed="false">
      <c r="A15" s="11" t="s">
        <v>110</v>
      </c>
      <c r="B15" s="29" t="n">
        <f aca="false">B14/3600</f>
        <v>0.0366666666666667</v>
      </c>
      <c r="C15" s="29" t="n">
        <f aca="false">C14/3600</f>
        <v>2.5</v>
      </c>
    </row>
    <row r="16" customFormat="false" ht="15" hidden="false" customHeight="true" outlineLevel="0" collapsed="false">
      <c r="A16" s="11" t="s">
        <v>111</v>
      </c>
      <c r="B16" s="26" t="n">
        <f aca="false">B13/(B8*1000000000000)/3600</f>
        <v>1.83333333333333</v>
      </c>
      <c r="C16" s="26" t="n">
        <f aca="false">C13/(B8*1000000000000)/3600</f>
        <v>125</v>
      </c>
    </row>
    <row r="17" customFormat="false" ht="15" hidden="false" customHeight="true" outlineLevel="0" collapsed="false">
      <c r="A17" s="11" t="s">
        <v>112</v>
      </c>
      <c r="B17" s="31" t="n">
        <f aca="false">B16/24</f>
        <v>0.0763888888888889</v>
      </c>
      <c r="C17" s="31" t="n">
        <f aca="false">C16/24</f>
        <v>5.20833333333333</v>
      </c>
    </row>
    <row r="18" customFormat="false" ht="15" hidden="false" customHeight="true" outlineLevel="0" collapsed="false">
      <c r="A18" s="11" t="s">
        <v>113</v>
      </c>
      <c r="B18" s="32"/>
      <c r="C18" s="35" t="n">
        <f aca="false">C13/B13</f>
        <v>68.1818181818182</v>
      </c>
    </row>
    <row r="20" customFormat="false" ht="15" hidden="false" customHeight="true" outlineLevel="0" collapsed="false">
      <c r="A20" s="21" t="s">
        <v>114</v>
      </c>
    </row>
    <row r="21" customFormat="false" ht="15" hidden="false" customHeight="true" outlineLevel="0" collapsed="false">
      <c r="A21" s="2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2026-10-01T22:20:06Z</dcterms:created>
  <dc:creator>Leonhard Korowajczuk</dc:creator>
  <dc:description/>
  <dc:language>en-US</dc:language>
  <cp:lastModifiedBy>Leonhard Korowajczuk</cp:lastModifiedBy>
  <dcterms:modified xsi:type="dcterms:W3CDTF">2026-10-20T17:46:34Z</dcterms:modified>
  <cp:revision>0</cp:revision>
  <dc:subject/>
  <dc:title>Encoder, Decoder, Encoder–Decoder: The Three Families — companion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