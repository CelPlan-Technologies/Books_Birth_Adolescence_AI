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oftmax" sheetId="2" state="visible" r:id="rId4"/>
    <sheet name="Vocabulary Parameters" sheetId="3" state="visible" r:id="rId5"/>
    <sheet name="Tokenizer Tax" sheetId="4" state="visible" r:id="rId6"/>
    <sheet name="Chunking" sheetId="5" state="visible" r:id="rId7"/>
    <sheet name="Media Tokens" sheetId="6" state="visible" r:id="rId8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<sst xmlns="http://schemas.openxmlformats.org/spreadsheetml/2006/main" count="132" uniqueCount="128">
  <si>
    <t xml:space="preserve">Chapter 3 — Tokenization and Embeddings</t>
  </si>
  <si>
    <t xml:space="preserve">Companion workbook of The Birth and Adolescence of Artificial Intelligence, Volume 1,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</si>
  <si>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</si>
  <si>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</si>
  <si>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</si>
  <si>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Softmax</t>
  </si>
  <si>
    <t xml:space="preserve">Logits and temperature → probabilities, at T and at two comparison temperatures (1, 0.5 and 1.5 by default, as in the worked example).</t>
  </si>
  <si>
    <t xml:space="preserve">Section 3.5.3, Worked Example 3.3</t>
  </si>
  <si>
    <t xml:space="preserve">Vocabulary Parameters</t>
  </si>
  <si>
    <t xml:space="preserve">Embedding and output-projection parameters for any vocabulary size n_vocab and model dimension d.</t>
  </si>
  <si>
    <t xml:space="preserve">Section 3.4.2, Table 3.2</t>
  </si>
  <si>
    <t xml:space="preserve">Tokenizer Tax</t>
  </si>
  <si>
    <t xml:space="preserve">Tokens for the same content in four languages, and the resulting cost, context use (a 131,072-token window and the 200,000-token windows of 2026 frontier services) and generation time.</t>
  </si>
  <si>
    <t xml:space="preserve">Section 3.4.1, Worked Example 3.2, Figure 3.4</t>
  </si>
  <si>
    <t xml:space="preserve">Chunking</t>
  </si>
  <si>
    <t xml:space="preserve">Chunks, words per chunk and index size for a document split for retrieval.</t>
  </si>
  <si>
    <t xml:space="preserve">Section 3.6.3, Worked Example 3.4</t>
  </si>
  <si>
    <t xml:space="preserve">Media Tokens</t>
  </si>
  <si>
    <t xml:space="preserve">Sequence positions used by images (patches; 1,024 × 1,024 and 224 × 224 images by default) and audio (spectrogram frames, Whisper encoder positions, codec frames).</t>
  </si>
  <si>
    <t xml:space="preserve">Section 3.3.4</t>
  </si>
  <si>
    <t xml:space="preserve">Notes</t>
  </si>
  <si>
    <t xml:space="preserve">Token counts were measured with the cl100k and o200k tokenizers (gpt-tokenizer for JavaScript) on one 35-word English paragraph and its translations. Measure your own documents.</t>
  </si>
  <si>
    <t xml:space="preserve">Worked Example 3.1 (BPE) has its own companion script, ch03_bpe_toy.py, one of the companion files.</t>
  </si>
  <si>
    <t xml:space="preserve">Units are decimal, as in the book: 1 MB = 10^6 bytes, 1 GB = 10^9 bytes.</t>
  </si>
  <si>
    <t xml:space="preserve">Softmax with Temperature (Worked Example 3.3)</t>
  </si>
  <si>
    <t xml:space="preserve">Temperature T</t>
  </si>
  <si>
    <t xml:space="preserve">Other temperatures →</t>
  </si>
  <si>
    <t xml:space="preserve">Token</t>
  </si>
  <si>
    <t xml:space="preserve">Logit z</t>
  </si>
  <si>
    <t xml:space="preserve">exp(z/T)</t>
  </si>
  <si>
    <t xml:space="preserve">Probability</t>
  </si>
  <si>
    <t xml:space="preserve">Section 1.8.1 value</t>
  </si>
  <si>
    <t xml:space="preserve">Probability at T = F4</t>
  </si>
  <si>
    <t xml:space="preserve">Probability at T = G4</t>
  </si>
  <si>
    <t xml:space="preserve">tower</t>
  </si>
  <si>
    <t xml:space="preserve">roof</t>
  </si>
  <si>
    <t xml:space="preserve">mast</t>
  </si>
  <si>
    <t xml:space="preserve">pole</t>
  </si>
  <si>
    <t xml:space="preserve">Sum</t>
  </si>
  <si>
    <t xml:space="preserve">Ratio</t>
  </si>
  <si>
    <t xml:space="preserve">exp(logit gap)</t>
  </si>
  <si>
    <t xml:space="preserve">Section 1.8.1 ratio</t>
  </si>
  <si>
    <t xml:space="preserve">Columns F and G repeat the calculation at the temperatures in F4 and G4 (0.5 and 1.5 in Worked Example 3.3). The Section 1.8.1 probabilities leave ≈ 0.22 for all other tokens,</t>
  </si>
  <si>
    <t xml:space="preserve">which is why they are lower; at T = 1 their ratios approximately match the exponentials of the logit gaps (e^0.6 ≈ 1.8 for tower / roof).</t>
  </si>
  <si>
    <t xml:space="preserve">Parameters Spent on the Vocabulary (Table 3.2)</t>
  </si>
  <si>
    <t xml:space="preserve">Model</t>
  </si>
  <si>
    <t xml:space="preserve">Vocabulary n_vocab</t>
  </si>
  <si>
    <t xml:space="preserve">Dimension d</t>
  </si>
  <si>
    <t xml:space="preserve">Tied? (1 = yes)</t>
  </si>
  <si>
    <t xml:space="preserve">Total parameters</t>
  </si>
  <si>
    <t xml:space="preserve">Vocabulary parameters = n_vocab·d·(2 − tied)</t>
  </si>
  <si>
    <t xml:space="preserve">Share</t>
  </si>
  <si>
    <t xml:space="preserve">Memory in BF16 (GB)</t>
  </si>
  <si>
    <t xml:space="preserve">GPT-2 small</t>
  </si>
  <si>
    <t xml:space="preserve">Llama 2 7B</t>
  </si>
  <si>
    <t xml:space="preserve">Llama 3 8B</t>
  </si>
  <si>
    <t xml:space="preserve">Llama 3.2 1B</t>
  </si>
  <si>
    <t xml:space="preserve">Your model</t>
  </si>
  <si>
    <t xml:space="preserve">The Tokenizer Tax: Same Content, Different Token Counts (Worked Example 3.2, Figure 3.4)</t>
  </si>
  <si>
    <t xml:space="preserve">Context window (tokens), 128k model</t>
  </si>
  <si>
    <t xml:space="preserve">Document length in English (tokens)</t>
  </si>
  <si>
    <t xml:space="preserve">Price per million tokens (US$)</t>
  </si>
  <si>
    <t xml:space="preserve">Generation speed (tokens/s)</t>
  </si>
  <si>
    <t xml:space="preserve">Answer length in English (tokens)</t>
  </si>
  <si>
    <t xml:space="preserve">Frontier context window (tokens)</t>
  </si>
  <si>
    <t xml:space="preserve">Language · tokenizer</t>
  </si>
  <si>
    <t xml:space="preserve">Words in reference paragraph</t>
  </si>
  <si>
    <t xml:space="preserve">Tokens for reference paragraph (measured)</t>
  </si>
  <si>
    <t xml:space="preserve">Tokens per word</t>
  </si>
  <si>
    <t xml:space="preserve">Ratio to English (same tokenizer)</t>
  </si>
  <si>
    <t xml:space="preserve">Tokens for the document</t>
  </si>
  <si>
    <t xml:space="preserve">Cost of the document (US$)</t>
  </si>
  <si>
    <t xml:space="preserve">Fits in context window (B3)?</t>
  </si>
  <si>
    <t xml:space="preserve">Seconds to generate the answer</t>
  </si>
  <si>
    <t xml:space="preserve">Fits in frontier window (B8)?</t>
  </si>
  <si>
    <t xml:space="preserve">English · cl100k</t>
  </si>
  <si>
    <t xml:space="preserve">Portuguese · cl100k</t>
  </si>
  <si>
    <t xml:space="preserve">Spanish · cl100k</t>
  </si>
  <si>
    <t xml:space="preserve">German · cl100k</t>
  </si>
  <si>
    <t xml:space="preserve">English · o200k</t>
  </si>
  <si>
    <t xml:space="preserve">Portuguese · o200k</t>
  </si>
  <si>
    <t xml:space="preserve">Spanish · o200k</t>
  </si>
  <si>
    <t xml:space="preserve">German · o200k</t>
  </si>
  <si>
    <t xml:space="preserve">Ratios compare token counts for the same content, which is what determines cost, context use and generation time.</t>
  </si>
  <si>
    <t xml:space="preserve">Tokens per word is shown for information: languages use different numbers of words for the same content.</t>
  </si>
  <si>
    <t xml:space="preserve">On a large parallel corpus (FLORES-200), Portuguese, Spanish and German need about 1.5 times as many cl100k tokens as English (Petrov et al., 2023); this technical paragraph lies at the high end (Section 3.4.1).</t>
  </si>
  <si>
    <t xml:space="preserve">B3 is a 128k (131,072-token) open-model window; B8 is the smallest window of the 2026 frontier services, 200,000 tokens (Table 27.3, Volume 2). Both Portuguese versions miss the first and fit the second.</t>
  </si>
  <si>
    <t xml:space="preserve">Chunking a Document for Retrieval (Worked Example 3.4)</t>
  </si>
  <si>
    <t xml:space="preserve">Document length in English (words)</t>
  </si>
  <si>
    <t xml:space="preserve">English tokens per word</t>
  </si>
  <si>
    <t xml:space="preserve">Chunk size (tokens)</t>
  </si>
  <si>
    <t xml:space="preserve">Overlap (tokens)</t>
  </si>
  <si>
    <t xml:space="preserve">Embedding dimension</t>
  </si>
  <si>
    <t xml:space="preserve">Bytes per number (4 = FP32, 2 = FP16)</t>
  </si>
  <si>
    <t xml:space="preserve">Case</t>
  </si>
  <si>
    <t xml:space="preserve">Token ratio to English</t>
  </si>
  <si>
    <t xml:space="preserve">Tokens per word (in that language)</t>
  </si>
  <si>
    <t xml:space="preserve">Total tokens</t>
  </si>
  <si>
    <t xml:space="preserve">Chunks</t>
  </si>
  <si>
    <t xml:space="preserve">Words per chunk</t>
  </si>
  <si>
    <t xml:space="preserve">Index size (MB)</t>
  </si>
  <si>
    <t xml:space="preserve">English</t>
  </si>
  <si>
    <t xml:space="preserve">Ratios and tokens per word are taken from the Tokenizer Tax sheet. Chunks = ⌈(tokens − overlap) ÷ (chunk − overlap)⌉; each chunk advances chunk − overlap tokens. An empty document has no chunks; any shorter non-empty document has one.</t>
  </si>
  <si>
    <t xml:space="preserve">Input check: chunk size &gt; overlap ≥ 0</t>
  </si>
  <si>
    <t xml:space="preserve">Images and Sound as Sequence Positions (Section 3.3.4)</t>
  </si>
  <si>
    <t xml:space="preserve">Image patches (Vision Transformer)</t>
  </si>
  <si>
    <t xml:space="preserve">Image A</t>
  </si>
  <si>
    <t xml:space="preserve">Image B</t>
  </si>
  <si>
    <t xml:space="preserve">Image width (pixels)</t>
  </si>
  <si>
    <t xml:space="preserve">Image height (pixels)</t>
  </si>
  <si>
    <t xml:space="preserve">Patch size (pixels)</t>
  </si>
  <si>
    <t xml:space="preserve">Patches = (width ÷ patch) × (height ÷ patch)</t>
  </si>
  <si>
    <t xml:space="preserve">Speech (Whisper-style encoder)</t>
  </si>
  <si>
    <t xml:space="preserve">Audio length (s)</t>
  </si>
  <si>
    <t xml:space="preserve">Spectrogram frames per second (10 ms hop)</t>
  </si>
  <si>
    <t xml:space="preserve">Encoder downsampling factor</t>
  </si>
  <si>
    <t xml:space="preserve">Spectrogram frames = length × frames per second</t>
  </si>
  <si>
    <t xml:space="preserve">Encoder positions = frames ÷ downsampling</t>
  </si>
  <si>
    <t xml:space="preserve">Neural audio codec (EnCodec-style)</t>
  </si>
  <si>
    <t xml:space="preserve">Codec frames per second</t>
  </si>
  <si>
    <t xml:space="preserve">Codebooks per frame</t>
  </si>
  <si>
    <t xml:space="preserve">Frames (sequence steps)</t>
  </si>
  <si>
    <t xml:space="preserve">Codebook entries (if flattened into one sequence)</t>
  </si>
  <si>
    <t xml:space="preserve">Text equivalent</t>
  </si>
  <si>
    <t xml:space="preserve">Image patches ≈ English words</t>
  </si>
  <si>
    <t xml:space="preserve">Whisper positions ≈ English words</t>
  </si>
  <si>
    <t xml:space="preserve">Defaults reproduce Section 3.3.4: with 16-pixel patches a 1,024 × 1,024 image becomes 4,096 positions and a 224 × 224 image 196; 30 s of audio gives 3,000 spectrogram frames and 1,500 Whisper encoder positions; EnCodec produces 75 frames per second.</t>
  </si>
  <si>
    <t xml:space="preserve">Vision-language models usually pool or merge neighboring patches before the language model, so a typical image costs about 256 to 1,000 tokens and a full document page about 1,500 to 2,800 in a dynamic-resolution model (Section 9.3.1).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</si>
</sst>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.000"/>
    <numFmt numFmtId="167" formatCode="#,##0"/>
    <numFmt numFmtId="168" formatCode="0"/>
    <numFmt numFmtId="169" formatCode="0.0%"/>
    <numFmt numFmtId="170" formatCode="\$0.00"/>
    <numFmt numFmtId="171" formatCode="0.00\×"/>
    <numFmt numFmtId="172" formatCode="\$0.000"/>
    <numFmt numFmtId="173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sz val="11"/>
      <name val="Cambria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</row>
    <row r="5" customFormat="false" ht="30" hidden="false" customHeight="true" outlineLevel="0" collapsed="false">
      <c r="A5" s="6" t="s">
        <v>5</v>
      </c>
      <c r="B5" s="7" t="s">
        <v>6</v>
      </c>
      <c r="C5" s="7" t="s">
        <v>7</v>
      </c>
    </row>
    <row r="6" customFormat="false" ht="30" hidden="false" customHeight="true" outlineLevel="0" collapsed="false">
      <c r="A6" s="6" t="s">
        <v>8</v>
      </c>
      <c r="B6" s="7" t="s">
        <v>9</v>
      </c>
      <c r="C6" s="7" t="s">
        <v>10</v>
      </c>
    </row>
    <row r="7" customFormat="false" ht="45" hidden="false" customHeight="true" outlineLevel="0" collapsed="false">
      <c r="A7" s="6" t="s">
        <v>11</v>
      </c>
      <c r="B7" s="7" t="s">
        <v>12</v>
      </c>
      <c r="C7" s="7" t="s">
        <v>13</v>
      </c>
    </row>
    <row r="8" customFormat="false" ht="15" hidden="false" customHeight="true" outlineLevel="0" collapsed="false">
      <c r="A8" s="6" t="s">
        <v>14</v>
      </c>
      <c r="B8" s="7" t="s">
        <v>15</v>
      </c>
      <c r="C8" s="7" t="s">
        <v>16</v>
      </c>
    </row>
    <row r="9" customFormat="false" ht="45" hidden="false" customHeight="true" outlineLevel="0" collapsed="false">
      <c r="A9" s="6" t="s">
        <v>17</v>
      </c>
      <c r="B9" s="7" t="s">
        <v>18</v>
      </c>
      <c r="C9" s="7" t="s">
        <v>19</v>
      </c>
    </row>
    <row r="10" customFormat="false" ht="15" hidden="false" customHeight="true" outlineLevel="0" collapsed="false">
      <c r="A10" s="4"/>
    </row>
    <row r="11" customFormat="false" ht="15" hidden="false" customHeight="true" outlineLevel="0" collapsed="false">
      <c r="A11" s="8" t="s">
        <v>20</v>
      </c>
    </row>
    <row r="12" customFormat="false" ht="30" hidden="false" customHeight="true" outlineLevel="0" collapsed="false">
      <c r="A12" s="9" t="s">
        <v>21</v>
      </c>
      <c r="B12" s="9"/>
      <c r="C12" s="9"/>
    </row>
    <row r="13" customFormat="false" ht="15" hidden="false" customHeight="true" outlineLevel="0" collapsed="false">
      <c r="A13" s="9" t="s">
        <v>22</v>
      </c>
      <c r="B13" s="9"/>
      <c r="C13" s="9"/>
    </row>
    <row r="14" customFormat="false" ht="15" hidden="false" customHeight="true" outlineLevel="0" collapsed="false">
      <c r="A14" s="9" t="s">
        <v>23</v>
      </c>
      <c r="B14" s="9"/>
      <c r="C14" s="9"/>
    </row>
    <row r="15" customFormat="false" ht="15" hidden="false" customHeight="true" outlineLevel="0" collapsed="false">
      <c r="A15" s="4"/>
    </row>
  </sheetData>
  <mergeCells count="4">
    <mergeCell ref="A2:C2"/>
    <mergeCell ref="A12:C12"/>
    <mergeCell ref="A13:C13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4"/>
    <col collapsed="false" customWidth="true" hidden="false" outlineLevel="0" max="5" min="5" style="1" width="18"/>
    <col collapsed="false" customWidth="true" hidden="false" outlineLevel="0" max="7" min="6" style="1" width="13"/>
  </cols>
  <sheetData>
    <row r="1" customFormat="false" ht="15.75" hidden="false" customHeight="true" outlineLevel="0" collapsed="false">
      <c r="A1" s="10" t="s">
        <v>24</v>
      </c>
    </row>
    <row r="3" customFormat="false" ht="15" hidden="false" customHeight="true" outlineLevel="0" collapsed="false">
      <c r="A3" s="11" t="s">
        <v>25</v>
      </c>
      <c r="B3" s="12" t="n">
        <v>1</v>
      </c>
    </row>
    <row r="4" customFormat="false" ht="15" hidden="false" customHeight="true" outlineLevel="0" collapsed="false">
      <c r="E4" s="11" t="s">
        <v>26</v>
      </c>
      <c r="F4" s="12" t="n">
        <v>0.5</v>
      </c>
      <c r="G4" s="12" t="n">
        <v>1.5</v>
      </c>
    </row>
    <row r="5" customFormat="false" ht="30" hidden="false" customHeight="true" outlineLevel="0" collapsed="false">
      <c r="A5" s="13" t="s">
        <v>27</v>
      </c>
      <c r="B5" s="13" t="s">
        <v>28</v>
      </c>
      <c r="C5" s="13" t="s">
        <v>29</v>
      </c>
      <c r="D5" s="13" t="s">
        <v>30</v>
      </c>
      <c r="E5" s="13" t="s">
        <v>31</v>
      </c>
      <c r="F5" s="13" t="s">
        <v>32</v>
      </c>
      <c r="G5" s="13" t="s">
        <v>33</v>
      </c>
    </row>
    <row r="6" customFormat="false" ht="15" hidden="false" customHeight="true" outlineLevel="0" collapsed="false">
      <c r="A6" s="14" t="s">
        <v>34</v>
      </c>
      <c r="B6" s="12" t="n">
        <v>3.1</v>
      </c>
      <c r="C6" s="15" t="n">
        <f aca="false">EXP(B6/$B$3)</f>
        <v>22.1979512814416</v>
      </c>
      <c r="D6" s="16" t="n">
        <f aca="false">C6/SUM($C$6:$C$9)</f>
        <v>0.48732317442322</v>
      </c>
      <c r="E6" s="12" t="n">
        <v>0.38</v>
      </c>
      <c r="F6" s="16" t="n">
        <f aca="false">EXP($B6/F$4)/SUMPRODUCT(EXP($B$6:$B$9/F$4))</f>
        <v>0.687358383792203</v>
      </c>
      <c r="G6" s="16" t="n">
        <f aca="false">EXP($B6/G$4)/SUMPRODUCT(EXP($B$6:$B$9/G$4))</f>
        <v>0.408607846790285</v>
      </c>
    </row>
    <row r="7" customFormat="false" ht="15" hidden="false" customHeight="true" outlineLevel="0" collapsed="false">
      <c r="A7" s="14" t="s">
        <v>35</v>
      </c>
      <c r="B7" s="12" t="n">
        <v>2.5</v>
      </c>
      <c r="C7" s="15" t="n">
        <f aca="false">EXP(B7/$B$3)</f>
        <v>12.1824939607035</v>
      </c>
      <c r="D7" s="16" t="n">
        <f aca="false">C7/SUM($C$6:$C$9)</f>
        <v>0.267448628661742</v>
      </c>
      <c r="E7" s="12" t="n">
        <v>0.21</v>
      </c>
      <c r="F7" s="16" t="n">
        <f aca="false">EXP($B7/F$4)/SUMPRODUCT(EXP($B$6:$B$9/F$4))</f>
        <v>0.207028366707537</v>
      </c>
      <c r="G7" s="16" t="n">
        <f aca="false">EXP($B7/G$4)/SUMPRODUCT(EXP($B$6:$B$9/G$4))</f>
        <v>0.273898030670987</v>
      </c>
    </row>
    <row r="8" customFormat="false" ht="15" hidden="false" customHeight="true" outlineLevel="0" collapsed="false">
      <c r="A8" s="14" t="s">
        <v>36</v>
      </c>
      <c r="B8" s="12" t="n">
        <v>2.1</v>
      </c>
      <c r="C8" s="15" t="n">
        <f aca="false">EXP(B8/$B$3)</f>
        <v>8.16616991256765</v>
      </c>
      <c r="D8" s="16" t="n">
        <f aca="false">C8/SUM($C$6:$C$9)</f>
        <v>0.179276177076707</v>
      </c>
      <c r="E8" s="12" t="n">
        <v>0.14</v>
      </c>
      <c r="F8" s="16" t="n">
        <f aca="false">EXP($B8/F$4)/SUMPRODUCT(EXP($B$6:$B$9/F$4))</f>
        <v>0.0930238415555781</v>
      </c>
      <c r="G8" s="16" t="n">
        <f aca="false">EXP($B8/G$4)/SUMPRODUCT(EXP($B$6:$B$9/G$4))</f>
        <v>0.209786263513179</v>
      </c>
    </row>
    <row r="9" customFormat="false" ht="15" hidden="false" customHeight="true" outlineLevel="0" collapsed="false">
      <c r="A9" s="14" t="s">
        <v>37</v>
      </c>
      <c r="B9" s="12" t="n">
        <v>1.1</v>
      </c>
      <c r="C9" s="15" t="n">
        <f aca="false">EXP(B9/$B$3)</f>
        <v>3.00416602394643</v>
      </c>
      <c r="D9" s="16" t="n">
        <f aca="false">C9/SUM($C$6:$C$9)</f>
        <v>0.0659520198383316</v>
      </c>
      <c r="E9" s="12" t="n">
        <v>0.05</v>
      </c>
      <c r="F9" s="16" t="n">
        <f aca="false">EXP($B9/F$4)/SUMPRODUCT(EXP($B$6:$B$9/F$4))</f>
        <v>0.0125894079446819</v>
      </c>
      <c r="G9" s="16" t="n">
        <f aca="false">EXP($B9/G$4)/SUMPRODUCT(EXP($B$6:$B$9/G$4))</f>
        <v>0.107707859025549</v>
      </c>
    </row>
    <row r="10" customFormat="false" ht="15" hidden="false" customHeight="true" outlineLevel="0" collapsed="false">
      <c r="A10" s="11" t="s">
        <v>38</v>
      </c>
      <c r="C10" s="17" t="n">
        <f aca="false">SUM(C6:C9)</f>
        <v>45.5507811786592</v>
      </c>
      <c r="D10" s="18" t="n">
        <f aca="false">SUM(D6:D9)</f>
        <v>1</v>
      </c>
      <c r="E10" s="17" t="n">
        <f aca="false">SUM(E6:E9)</f>
        <v>0.78</v>
      </c>
      <c r="F10" s="18" t="n">
        <f aca="false">SUM(F6:F9)</f>
        <v>1</v>
      </c>
      <c r="G10" s="18" t="n">
        <f aca="false">SUM(G6:G9)</f>
        <v>1</v>
      </c>
    </row>
    <row r="12" customFormat="false" ht="23.25" hidden="false" customHeight="true" outlineLevel="0" collapsed="false">
      <c r="A12" s="13" t="s">
        <v>39</v>
      </c>
      <c r="B12" s="13" t="s">
        <v>40</v>
      </c>
      <c r="C12" s="13" t="s">
        <v>41</v>
      </c>
    </row>
    <row r="13" customFormat="false" ht="15" hidden="false" customHeight="true" outlineLevel="0" collapsed="false">
      <c r="A13" s="19" t="str">
        <f aca="false">A6&amp;" / "&amp;A7</f>
        <v>tower / roof</v>
      </c>
      <c r="B13" s="15" t="n">
        <f aca="false">EXP((B6-B7)/$B$3)</f>
        <v>1.82211880039051</v>
      </c>
      <c r="C13" s="15" t="n">
        <f aca="false">E6/E7</f>
        <v>1.80952380952381</v>
      </c>
    </row>
    <row r="14" customFormat="false" ht="15" hidden="false" customHeight="true" outlineLevel="0" collapsed="false">
      <c r="A14" s="19" t="str">
        <f aca="false">A7&amp;" / "&amp;A8</f>
        <v>roof / mast</v>
      </c>
      <c r="B14" s="15" t="n">
        <f aca="false">EXP((B7-B8)/$B$3)</f>
        <v>1.49182469764127</v>
      </c>
      <c r="C14" s="15" t="n">
        <f aca="false">E7/E8</f>
        <v>1.5</v>
      </c>
    </row>
    <row r="15" customFormat="false" ht="15" hidden="false" customHeight="true" outlineLevel="0" collapsed="false">
      <c r="A15" s="19" t="str">
        <f aca="false">A8&amp;" / "&amp;A9</f>
        <v>mast / pole</v>
      </c>
      <c r="B15" s="15" t="n">
        <f aca="false">EXP((B8-B9)/$B$3)</f>
        <v>2.71828182845905</v>
      </c>
      <c r="C15" s="15" t="n">
        <f aca="false">E8/E9</f>
        <v>2.8</v>
      </c>
    </row>
    <row r="17" customFormat="false" ht="15" hidden="false" customHeight="true" outlineLevel="0" collapsed="false">
      <c r="A17" s="20" t="s">
        <v>42</v>
      </c>
    </row>
    <row r="18" customFormat="false" ht="15" hidden="false" customHeight="true" outlineLevel="0" collapsed="false">
      <c r="A18" s="2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24"/>
    <col collapsed="false" customWidth="true" hidden="false" outlineLevel="0" max="7" min="7" style="1" width="9"/>
    <col collapsed="false" customWidth="true" hidden="false" outlineLevel="0" max="8" min="8" style="1" width="14"/>
  </cols>
  <sheetData>
    <row r="1" customFormat="false" ht="15.75" hidden="false" customHeight="true" outlineLevel="0" collapsed="false">
      <c r="A1" s="10" t="s">
        <v>44</v>
      </c>
    </row>
    <row r="3" customFormat="false" ht="42" hidden="false" customHeight="true" outlineLevel="0" collapsed="false">
      <c r="A3" s="13" t="s">
        <v>45</v>
      </c>
      <c r="B3" s="13" t="s">
        <v>46</v>
      </c>
      <c r="C3" s="13" t="s">
        <v>47</v>
      </c>
      <c r="D3" s="13" t="s">
        <v>48</v>
      </c>
      <c r="E3" s="13" t="s">
        <v>49</v>
      </c>
      <c r="F3" s="13" t="s">
        <v>50</v>
      </c>
      <c r="G3" s="13" t="s">
        <v>51</v>
      </c>
      <c r="H3" s="13" t="s">
        <v>52</v>
      </c>
    </row>
    <row r="4" customFormat="false" ht="15" hidden="false" customHeight="true" outlineLevel="0" collapsed="false">
      <c r="A4" s="14" t="s">
        <v>53</v>
      </c>
      <c r="B4" s="21" t="n">
        <v>50257</v>
      </c>
      <c r="C4" s="21" t="n">
        <v>768</v>
      </c>
      <c r="D4" s="22" t="n">
        <v>1</v>
      </c>
      <c r="E4" s="21" t="n">
        <v>124000000</v>
      </c>
      <c r="F4" s="23" t="n">
        <f aca="false">B4*C4*(2-D4)</f>
        <v>38597376</v>
      </c>
      <c r="G4" s="24" t="n">
        <f aca="false">F4/E4</f>
        <v>0.311269161290323</v>
      </c>
      <c r="H4" s="15" t="n">
        <f aca="false">F4*2/1000000000</f>
        <v>0.077194752</v>
      </c>
    </row>
    <row r="5" customFormat="false" ht="15" hidden="false" customHeight="true" outlineLevel="0" collapsed="false">
      <c r="A5" s="14" t="s">
        <v>54</v>
      </c>
      <c r="B5" s="21" t="n">
        <v>32000</v>
      </c>
      <c r="C5" s="21" t="n">
        <v>4096</v>
      </c>
      <c r="D5" s="22" t="n">
        <v>0</v>
      </c>
      <c r="E5" s="21" t="n">
        <v>6740000000</v>
      </c>
      <c r="F5" s="23" t="n">
        <f aca="false">B5*C5*(2-D5)</f>
        <v>262144000</v>
      </c>
      <c r="G5" s="24" t="n">
        <f aca="false">F5/E5</f>
        <v>0.0388937685459941</v>
      </c>
      <c r="H5" s="15" t="n">
        <f aca="false">F5*2/1000000000</f>
        <v>0.524288</v>
      </c>
    </row>
    <row r="6" customFormat="false" ht="15" hidden="false" customHeight="true" outlineLevel="0" collapsed="false">
      <c r="A6" s="14" t="s">
        <v>55</v>
      </c>
      <c r="B6" s="21" t="n">
        <v>128256</v>
      </c>
      <c r="C6" s="21" t="n">
        <v>4096</v>
      </c>
      <c r="D6" s="22" t="n">
        <v>0</v>
      </c>
      <c r="E6" s="21" t="n">
        <v>8030000000</v>
      </c>
      <c r="F6" s="23" t="n">
        <f aca="false">B6*C6*(2-D6)</f>
        <v>1050673152</v>
      </c>
      <c r="G6" s="24" t="n">
        <f aca="false">F6/E6</f>
        <v>0.130843480946451</v>
      </c>
      <c r="H6" s="15" t="n">
        <f aca="false">F6*2/1000000000</f>
        <v>2.101346304</v>
      </c>
    </row>
    <row r="7" customFormat="false" ht="15" hidden="false" customHeight="true" outlineLevel="0" collapsed="false">
      <c r="A7" s="14" t="s">
        <v>56</v>
      </c>
      <c r="B7" s="21" t="n">
        <v>128256</v>
      </c>
      <c r="C7" s="21" t="n">
        <v>2048</v>
      </c>
      <c r="D7" s="22" t="n">
        <v>1</v>
      </c>
      <c r="E7" s="21" t="n">
        <v>1240000000</v>
      </c>
      <c r="F7" s="23" t="n">
        <f aca="false">B7*C7*(2-D7)</f>
        <v>262668288</v>
      </c>
      <c r="G7" s="24" t="n">
        <f aca="false">F7/E7</f>
        <v>0.211829264516129</v>
      </c>
      <c r="H7" s="15" t="n">
        <f aca="false">F7*2/1000000000</f>
        <v>0.525336576</v>
      </c>
    </row>
    <row r="8" customFormat="false" ht="15" hidden="false" customHeight="true" outlineLevel="0" collapsed="false">
      <c r="A8" s="14" t="s">
        <v>57</v>
      </c>
      <c r="B8" s="21" t="n">
        <v>64000</v>
      </c>
      <c r="C8" s="21" t="n">
        <v>3072</v>
      </c>
      <c r="D8" s="22" t="n">
        <v>0</v>
      </c>
      <c r="E8" s="21" t="n">
        <v>3000000000</v>
      </c>
      <c r="F8" s="23" t="n">
        <f aca="false">B8*C8*(2-D8)</f>
        <v>393216000</v>
      </c>
      <c r="G8" s="24" t="n">
        <f aca="false">F8/E8</f>
        <v>0.131072</v>
      </c>
      <c r="H8" s="15" t="n">
        <f aca="false">F8*2/1000000000</f>
        <v>0.786432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10" min="6" style="1" width="14"/>
  </cols>
  <sheetData>
    <row r="1" customFormat="false" ht="15.75" hidden="false" customHeight="true" outlineLevel="0" collapsed="false">
      <c r="A1" s="10" t="s">
        <v>58</v>
      </c>
    </row>
    <row r="3" customFormat="false" ht="15" hidden="false" customHeight="true" outlineLevel="0" collapsed="false">
      <c r="A3" s="19" t="s">
        <v>59</v>
      </c>
      <c r="B3" s="21" t="n">
        <v>131072</v>
      </c>
    </row>
    <row r="4" customFormat="false" ht="15" hidden="false" customHeight="true" outlineLevel="0" collapsed="false">
      <c r="A4" s="19" t="s">
        <v>60</v>
      </c>
      <c r="B4" s="21" t="n">
        <v>100000</v>
      </c>
    </row>
    <row r="5" customFormat="false" ht="15" hidden="false" customHeight="true" outlineLevel="0" collapsed="false">
      <c r="A5" s="19" t="s">
        <v>61</v>
      </c>
      <c r="B5" s="25" t="n">
        <v>1</v>
      </c>
    </row>
    <row r="6" customFormat="false" ht="15" hidden="false" customHeight="true" outlineLevel="0" collapsed="false">
      <c r="A6" s="19" t="s">
        <v>62</v>
      </c>
      <c r="B6" s="22" t="n">
        <v>40</v>
      </c>
    </row>
    <row r="7" customFormat="false" ht="15" hidden="false" customHeight="true" outlineLevel="0" collapsed="false">
      <c r="A7" s="19" t="s">
        <v>63</v>
      </c>
      <c r="B7" s="21" t="n">
        <v>500</v>
      </c>
    </row>
    <row r="8" customFormat="false" ht="15" hidden="false" customHeight="true" outlineLevel="0" collapsed="false">
      <c r="A8" s="19" t="s">
        <v>64</v>
      </c>
      <c r="B8" s="21" t="n">
        <v>200000</v>
      </c>
    </row>
    <row r="9" customFormat="false" ht="55.5" hidden="false" customHeight="true" outlineLevel="0" collapsed="false">
      <c r="A9" s="13" t="s">
        <v>65</v>
      </c>
      <c r="B9" s="13" t="s">
        <v>66</v>
      </c>
      <c r="C9" s="13" t="s">
        <v>67</v>
      </c>
      <c r="D9" s="13" t="s">
        <v>68</v>
      </c>
      <c r="E9" s="13" t="s">
        <v>69</v>
      </c>
      <c r="F9" s="13" t="s">
        <v>70</v>
      </c>
      <c r="G9" s="13" t="s">
        <v>71</v>
      </c>
      <c r="H9" s="13" t="s">
        <v>72</v>
      </c>
      <c r="I9" s="13" t="s">
        <v>73</v>
      </c>
      <c r="J9" s="13" t="s">
        <v>74</v>
      </c>
    </row>
    <row r="10" customFormat="false" ht="15" hidden="false" customHeight="true" outlineLevel="0" collapsed="false">
      <c r="A10" s="14" t="s">
        <v>75</v>
      </c>
      <c r="B10" s="22" t="n">
        <v>35</v>
      </c>
      <c r="C10" s="22" t="n">
        <v>39</v>
      </c>
      <c r="D10" s="15" t="n">
        <f aca="false">C10/B10</f>
        <v>1.11428571428571</v>
      </c>
      <c r="E10" s="26" t="n">
        <f aca="false">C10/C$10</f>
        <v>1</v>
      </c>
      <c r="F10" s="23" t="n">
        <f aca="false">$B$4*E10</f>
        <v>100000</v>
      </c>
      <c r="G10" s="27" t="n">
        <f aca="false">F10*$B$5/1000000</f>
        <v>0.1</v>
      </c>
      <c r="H10" s="19" t="str">
        <f aca="false">IF(F10&lt;=$B$3,"yes","no")</f>
        <v>yes</v>
      </c>
      <c r="I10" s="28" t="n">
        <f aca="false">$B$7*E10/$B$6</f>
        <v>12.5</v>
      </c>
      <c r="J10" s="19" t="str">
        <f aca="false">IF(F10&lt;=$B$8,"yes","no")</f>
        <v>yes</v>
      </c>
    </row>
    <row r="11" customFormat="false" ht="15" hidden="false" customHeight="true" outlineLevel="0" collapsed="false">
      <c r="A11" s="14" t="s">
        <v>76</v>
      </c>
      <c r="B11" s="22" t="n">
        <v>38</v>
      </c>
      <c r="C11" s="22" t="n">
        <v>69</v>
      </c>
      <c r="D11" s="15" t="n">
        <f aca="false">C11/B11</f>
        <v>1.81578947368421</v>
      </c>
      <c r="E11" s="26" t="n">
        <f aca="false">C11/C$10</f>
        <v>1.76923076923077</v>
      </c>
      <c r="F11" s="23" t="n">
        <f aca="false">$B$4*E11</f>
        <v>176923.076923077</v>
      </c>
      <c r="G11" s="27" t="n">
        <f aca="false">F11*$B$5/1000000</f>
        <v>0.176923076923077</v>
      </c>
      <c r="H11" s="19" t="str">
        <f aca="false">IF(F11&lt;=$B$3,"yes","no")</f>
        <v>no</v>
      </c>
      <c r="I11" s="28" t="n">
        <f aca="false">$B$7*E11/$B$6</f>
        <v>22.1153846153846</v>
      </c>
      <c r="J11" s="19" t="str">
        <f aca="false">IF(F11&lt;=$B$8,"yes","no")</f>
        <v>yes</v>
      </c>
    </row>
    <row r="12" customFormat="false" ht="15" hidden="false" customHeight="true" outlineLevel="0" collapsed="false">
      <c r="A12" s="14" t="s">
        <v>77</v>
      </c>
      <c r="B12" s="22" t="n">
        <v>42</v>
      </c>
      <c r="C12" s="22" t="n">
        <v>69</v>
      </c>
      <c r="D12" s="15" t="n">
        <f aca="false">C12/B12</f>
        <v>1.64285714285714</v>
      </c>
      <c r="E12" s="26" t="n">
        <f aca="false">C12/C$10</f>
        <v>1.76923076923077</v>
      </c>
      <c r="F12" s="23" t="n">
        <f aca="false">$B$4*E12</f>
        <v>176923.076923077</v>
      </c>
      <c r="G12" s="27" t="n">
        <f aca="false">F12*$B$5/1000000</f>
        <v>0.176923076923077</v>
      </c>
      <c r="H12" s="19" t="str">
        <f aca="false">IF(F12&lt;=$B$3,"yes","no")</f>
        <v>no</v>
      </c>
      <c r="I12" s="28" t="n">
        <f aca="false">$B$7*E12/$B$6</f>
        <v>22.1153846153846</v>
      </c>
      <c r="J12" s="19" t="str">
        <f aca="false">IF(F12&lt;=$B$8,"yes","no")</f>
        <v>yes</v>
      </c>
    </row>
    <row r="13" customFormat="false" ht="15" hidden="false" customHeight="true" outlineLevel="0" collapsed="false">
      <c r="A13" s="14" t="s">
        <v>78</v>
      </c>
      <c r="B13" s="22" t="n">
        <v>38</v>
      </c>
      <c r="C13" s="22" t="n">
        <v>71</v>
      </c>
      <c r="D13" s="15" t="n">
        <f aca="false">C13/B13</f>
        <v>1.86842105263158</v>
      </c>
      <c r="E13" s="26" t="n">
        <f aca="false">C13/C$10</f>
        <v>1.82051282051282</v>
      </c>
      <c r="F13" s="23" t="n">
        <f aca="false">$B$4*E13</f>
        <v>182051.282051282</v>
      </c>
      <c r="G13" s="27" t="n">
        <f aca="false">F13*$B$5/1000000</f>
        <v>0.182051282051282</v>
      </c>
      <c r="H13" s="19" t="str">
        <f aca="false">IF(F13&lt;=$B$3,"yes","no")</f>
        <v>no</v>
      </c>
      <c r="I13" s="28" t="n">
        <f aca="false">$B$7*E13/$B$6</f>
        <v>22.7564102564103</v>
      </c>
      <c r="J13" s="19" t="str">
        <f aca="false">IF(F13&lt;=$B$8,"yes","no")</f>
        <v>yes</v>
      </c>
    </row>
    <row r="14" customFormat="false" ht="15" hidden="false" customHeight="true" outlineLevel="0" collapsed="false">
      <c r="A14" s="14" t="s">
        <v>79</v>
      </c>
      <c r="B14" s="22" t="n">
        <v>35</v>
      </c>
      <c r="C14" s="22" t="n">
        <v>39</v>
      </c>
      <c r="D14" s="15" t="n">
        <f aca="false">C14/B14</f>
        <v>1.11428571428571</v>
      </c>
      <c r="E14" s="26" t="n">
        <f aca="false">C14/C$14</f>
        <v>1</v>
      </c>
      <c r="F14" s="23" t="n">
        <f aca="false">$B$4*E14</f>
        <v>100000</v>
      </c>
      <c r="G14" s="27" t="n">
        <f aca="false">F14*$B$5/1000000</f>
        <v>0.1</v>
      </c>
      <c r="H14" s="19" t="str">
        <f aca="false">IF(F14&lt;=$B$3,"yes","no")</f>
        <v>yes</v>
      </c>
      <c r="I14" s="28" t="n">
        <f aca="false">$B$7*E14/$B$6</f>
        <v>12.5</v>
      </c>
      <c r="J14" s="19" t="str">
        <f aca="false">IF(F14&lt;=$B$8,"yes","no")</f>
        <v>yes</v>
      </c>
    </row>
    <row r="15" customFormat="false" ht="15" hidden="false" customHeight="true" outlineLevel="0" collapsed="false">
      <c r="A15" s="14" t="s">
        <v>80</v>
      </c>
      <c r="B15" s="22" t="n">
        <v>38</v>
      </c>
      <c r="C15" s="22" t="n">
        <v>52</v>
      </c>
      <c r="D15" s="15" t="n">
        <f aca="false">C15/B15</f>
        <v>1.36842105263158</v>
      </c>
      <c r="E15" s="26" t="n">
        <f aca="false">C15/C$14</f>
        <v>1.33333333333333</v>
      </c>
      <c r="F15" s="23" t="n">
        <f aca="false">$B$4*E15</f>
        <v>133333.333333333</v>
      </c>
      <c r="G15" s="27" t="n">
        <f aca="false">F15*$B$5/1000000</f>
        <v>0.133333333333333</v>
      </c>
      <c r="H15" s="19" t="str">
        <f aca="false">IF(F15&lt;=$B$3,"yes","no")</f>
        <v>no</v>
      </c>
      <c r="I15" s="28" t="n">
        <f aca="false">$B$7*E15/$B$6</f>
        <v>16.6666666666667</v>
      </c>
      <c r="J15" s="19" t="str">
        <f aca="false">IF(F15&lt;=$B$8,"yes","no")</f>
        <v>yes</v>
      </c>
    </row>
    <row r="16" customFormat="false" ht="15" hidden="false" customHeight="true" outlineLevel="0" collapsed="false">
      <c r="A16" s="14" t="s">
        <v>81</v>
      </c>
      <c r="B16" s="22" t="n">
        <v>42</v>
      </c>
      <c r="C16" s="22" t="n">
        <v>56</v>
      </c>
      <c r="D16" s="15" t="n">
        <f aca="false">C16/B16</f>
        <v>1.33333333333333</v>
      </c>
      <c r="E16" s="26" t="n">
        <f aca="false">C16/C$14</f>
        <v>1.43589743589744</v>
      </c>
      <c r="F16" s="23" t="n">
        <f aca="false">$B$4*E16</f>
        <v>143589.743589744</v>
      </c>
      <c r="G16" s="27" t="n">
        <f aca="false">F16*$B$5/1000000</f>
        <v>0.143589743589744</v>
      </c>
      <c r="H16" s="19" t="str">
        <f aca="false">IF(F16&lt;=$B$3,"yes","no")</f>
        <v>no</v>
      </c>
      <c r="I16" s="28" t="n">
        <f aca="false">$B$7*E16/$B$6</f>
        <v>17.948717948718</v>
      </c>
      <c r="J16" s="19" t="str">
        <f aca="false">IF(F16&lt;=$B$8,"yes","no")</f>
        <v>yes</v>
      </c>
    </row>
    <row r="17" customFormat="false" ht="15" hidden="false" customHeight="true" outlineLevel="0" collapsed="false">
      <c r="A17" s="14" t="s">
        <v>82</v>
      </c>
      <c r="B17" s="22" t="n">
        <v>38</v>
      </c>
      <c r="C17" s="22" t="n">
        <v>63</v>
      </c>
      <c r="D17" s="15" t="n">
        <f aca="false">C17/B17</f>
        <v>1.65789473684211</v>
      </c>
      <c r="E17" s="26" t="n">
        <f aca="false">C17/C$14</f>
        <v>1.61538461538462</v>
      </c>
      <c r="F17" s="23" t="n">
        <f aca="false">$B$4*E17</f>
        <v>161538.461538462</v>
      </c>
      <c r="G17" s="27" t="n">
        <f aca="false">F17*$B$5/1000000</f>
        <v>0.161538461538462</v>
      </c>
      <c r="H17" s="19" t="str">
        <f aca="false">IF(F17&lt;=$B$3,"yes","no")</f>
        <v>no</v>
      </c>
      <c r="I17" s="28" t="n">
        <f aca="false">$B$7*E17/$B$6</f>
        <v>20.1923076923077</v>
      </c>
      <c r="J17" s="19" t="str">
        <f aca="false">IF(F17&lt;=$B$8,"yes","no")</f>
        <v>yes</v>
      </c>
    </row>
    <row r="19" customFormat="false" ht="15" hidden="false" customHeight="true" outlineLevel="0" collapsed="false">
      <c r="A19" s="20" t="s">
        <v>83</v>
      </c>
    </row>
    <row r="20" customFormat="false" ht="15" hidden="false" customHeight="true" outlineLevel="0" collapsed="false">
      <c r="A20" s="20" t="s">
        <v>84</v>
      </c>
    </row>
    <row r="21" customFormat="false" ht="15" hidden="false" customHeight="true" outlineLevel="0" collapsed="false">
      <c r="A21" s="20" t="s">
        <v>85</v>
      </c>
    </row>
    <row r="22" customFormat="false" ht="15" hidden="false" customHeight="true" outlineLevel="0" collapsed="false">
      <c r="A22" s="2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7" min="6" style="1" width="14"/>
  </cols>
  <sheetData>
    <row r="1" customFormat="false" ht="15.75" hidden="false" customHeight="true" outlineLevel="0" collapsed="false">
      <c r="A1" s="10" t="s">
        <v>87</v>
      </c>
    </row>
    <row r="3" customFormat="false" ht="15" hidden="false" customHeight="true" outlineLevel="0" collapsed="false">
      <c r="A3" s="19" t="s">
        <v>88</v>
      </c>
      <c r="B3" s="21" t="n">
        <v>80000</v>
      </c>
    </row>
    <row r="4" customFormat="false" ht="15" hidden="false" customHeight="true" outlineLevel="0" collapsed="false">
      <c r="A4" s="19" t="s">
        <v>89</v>
      </c>
      <c r="B4" s="12" t="n">
        <v>1.11</v>
      </c>
    </row>
    <row r="5" customFormat="false" ht="15" hidden="false" customHeight="true" outlineLevel="0" collapsed="false">
      <c r="A5" s="19" t="s">
        <v>90</v>
      </c>
      <c r="B5" s="21" t="n">
        <v>512</v>
      </c>
    </row>
    <row r="6" customFormat="false" ht="15" hidden="false" customHeight="true" outlineLevel="0" collapsed="false">
      <c r="A6" s="19" t="s">
        <v>91</v>
      </c>
      <c r="B6" s="21" t="n">
        <v>64</v>
      </c>
    </row>
    <row r="7" customFormat="false" ht="15" hidden="false" customHeight="true" outlineLevel="0" collapsed="false">
      <c r="A7" s="19" t="s">
        <v>92</v>
      </c>
      <c r="B7" s="21" t="n">
        <v>1024</v>
      </c>
    </row>
    <row r="8" customFormat="false" ht="15" hidden="false" customHeight="true" outlineLevel="0" collapsed="false">
      <c r="A8" s="19" t="s">
        <v>93</v>
      </c>
      <c r="B8" s="22" t="n">
        <v>4</v>
      </c>
    </row>
    <row r="10" customFormat="false" ht="42" hidden="false" customHeight="true" outlineLevel="0" collapsed="false">
      <c r="A10" s="13" t="s">
        <v>94</v>
      </c>
      <c r="B10" s="13" t="s">
        <v>95</v>
      </c>
      <c r="C10" s="13" t="s">
        <v>96</v>
      </c>
      <c r="D10" s="13" t="s">
        <v>97</v>
      </c>
      <c r="E10" s="13" t="s">
        <v>98</v>
      </c>
      <c r="F10" s="13" t="s">
        <v>99</v>
      </c>
      <c r="G10" s="13" t="s">
        <v>100</v>
      </c>
    </row>
    <row r="11" customFormat="false" ht="15" hidden="false" customHeight="true" outlineLevel="0" collapsed="false">
      <c r="A11" s="14" t="s">
        <v>101</v>
      </c>
      <c r="B11" s="26" t="n">
        <f aca="false">1</f>
        <v>1</v>
      </c>
      <c r="C11" s="15" t="n">
        <f aca="false">B4</f>
        <v>1.11</v>
      </c>
      <c r="D11" s="23" t="n">
        <f aca="false">$B$3*$B$4*B11</f>
        <v>88800</v>
      </c>
      <c r="E11" s="23" t="n">
        <f aca="false">IF(NOT(AND($B$5&gt;$B$6,$B$6&gt;=0)),"invalid",IF(D11&lt;=0,0,MAX(1,ROUNDUP((D11-$B$6)/($B$5-$B$6),0))))</f>
        <v>199</v>
      </c>
      <c r="F11" s="23" t="n">
        <f aca="false">$B$5/C11</f>
        <v>461.261261261261</v>
      </c>
      <c r="G11" s="15" t="n">
        <f aca="false">IF(ISNUMBER(E11),E11*$B$7*$B$8/1000000,"invalid")</f>
        <v>0.815104</v>
      </c>
    </row>
    <row r="12" customFormat="false" ht="15" hidden="false" customHeight="true" outlineLevel="0" collapsed="false">
      <c r="A12" s="14" t="s">
        <v>76</v>
      </c>
      <c r="B12" s="26" t="n">
        <f aca="false">'Tokenizer Tax'!E11</f>
        <v>1.76923076923077</v>
      </c>
      <c r="C12" s="15" t="n">
        <f aca="false">'Tokenizer Tax'!D11</f>
        <v>1.81578947368421</v>
      </c>
      <c r="D12" s="23" t="n">
        <f aca="false">$B$3*$B$4*B12</f>
        <v>157107.692307692</v>
      </c>
      <c r="E12" s="23" t="n">
        <f aca="false">IF(NOT(AND($B$5&gt;$B$6,$B$6&gt;=0)),"invalid",IF(D12&lt;=0,0,MAX(1,ROUNDUP((D12-$B$6)/($B$5-$B$6),0))))</f>
        <v>351</v>
      </c>
      <c r="F12" s="23" t="n">
        <f aca="false">$B$5/C12</f>
        <v>281.971014492754</v>
      </c>
      <c r="G12" s="15" t="n">
        <f aca="false">IF(ISNUMBER(E12),E12*$B$7*$B$8/1000000,"invalid")</f>
        <v>1.437696</v>
      </c>
    </row>
    <row r="13" customFormat="false" ht="15" hidden="false" customHeight="true" outlineLevel="0" collapsed="false">
      <c r="A13" s="14" t="s">
        <v>80</v>
      </c>
      <c r="B13" s="26" t="n">
        <f aca="false">'Tokenizer Tax'!E15</f>
        <v>1.33333333333333</v>
      </c>
      <c r="C13" s="15" t="n">
        <f aca="false">'Tokenizer Tax'!D15</f>
        <v>1.36842105263158</v>
      </c>
      <c r="D13" s="23" t="n">
        <f aca="false">$B$3*$B$4*B13</f>
        <v>118400</v>
      </c>
      <c r="E13" s="23" t="n">
        <f aca="false">IF(NOT(AND($B$5&gt;$B$6,$B$6&gt;=0)),"invalid",IF(D13&lt;=0,0,MAX(1,ROUNDUP((D13-$B$6)/($B$5-$B$6),0))))</f>
        <v>265</v>
      </c>
      <c r="F13" s="23" t="n">
        <f aca="false">$B$5/C13</f>
        <v>374.153846153846</v>
      </c>
      <c r="G13" s="15" t="n">
        <f aca="false">IF(ISNUMBER(E13),E13*$B$7*$B$8/1000000,"invalid")</f>
        <v>1.08544</v>
      </c>
    </row>
    <row r="15" customFormat="false" ht="15" hidden="false" customHeight="true" outlineLevel="0" collapsed="false">
      <c r="A15" s="20" t="s">
        <v>102</v>
      </c>
    </row>
    <row r="17" customFormat="false" ht="15" hidden="false" customHeight="true" outlineLevel="0" collapsed="false">
      <c r="A17" s="19" t="s">
        <v>103</v>
      </c>
      <c r="B17" s="19" t="str">
        <f aca="false">IF(AND($B$5&gt;$B$6,$B$6&gt;=0),"OK","invalid")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14"/>
  </cols>
  <sheetData>
    <row r="1" customFormat="false" ht="15.75" hidden="false" customHeight="true" outlineLevel="0" collapsed="false">
      <c r="A1" s="10" t="s">
        <v>104</v>
      </c>
    </row>
    <row r="3" customFormat="false" ht="15" hidden="false" customHeight="true" outlineLevel="0" collapsed="false">
      <c r="A3" s="29" t="s">
        <v>105</v>
      </c>
      <c r="B3" s="29" t="s">
        <v>106</v>
      </c>
      <c r="C3" s="29" t="s">
        <v>107</v>
      </c>
    </row>
    <row r="4" customFormat="false" ht="15" hidden="false" customHeight="true" outlineLevel="0" collapsed="false">
      <c r="A4" s="19" t="s">
        <v>108</v>
      </c>
      <c r="B4" s="21" t="n">
        <v>1024</v>
      </c>
      <c r="C4" s="21" t="n">
        <v>224</v>
      </c>
    </row>
    <row r="5" customFormat="false" ht="15" hidden="false" customHeight="true" outlineLevel="0" collapsed="false">
      <c r="A5" s="19" t="s">
        <v>109</v>
      </c>
      <c r="B5" s="21" t="n">
        <v>1024</v>
      </c>
      <c r="C5" s="21" t="n">
        <v>224</v>
      </c>
    </row>
    <row r="6" customFormat="false" ht="15" hidden="false" customHeight="true" outlineLevel="0" collapsed="false">
      <c r="A6" s="19" t="s">
        <v>110</v>
      </c>
      <c r="B6" s="21" t="n">
        <v>16</v>
      </c>
      <c r="C6" s="21" t="n">
        <v>16</v>
      </c>
    </row>
    <row r="7" customFormat="false" ht="15" hidden="false" customHeight="true" outlineLevel="0" collapsed="false">
      <c r="A7" s="11" t="s">
        <v>111</v>
      </c>
      <c r="B7" s="30" t="n">
        <f aca="false">INT(B4/B6)*INT(B5/B6)</f>
        <v>4096</v>
      </c>
      <c r="C7" s="30" t="n">
        <f aca="false">INT(C4/C6)*INT(C5/C6)</f>
        <v>196</v>
      </c>
    </row>
    <row r="9" customFormat="false" ht="15" hidden="false" customHeight="true" outlineLevel="0" collapsed="false">
      <c r="A9" s="29" t="s">
        <v>112</v>
      </c>
    </row>
    <row r="10" customFormat="false" ht="15" hidden="false" customHeight="true" outlineLevel="0" collapsed="false">
      <c r="A10" s="19" t="s">
        <v>113</v>
      </c>
      <c r="B10" s="21" t="n">
        <v>30</v>
      </c>
    </row>
    <row r="11" customFormat="false" ht="15" hidden="false" customHeight="true" outlineLevel="0" collapsed="false">
      <c r="A11" s="19" t="s">
        <v>114</v>
      </c>
      <c r="B11" s="21" t="n">
        <v>100</v>
      </c>
    </row>
    <row r="12" customFormat="false" ht="15" hidden="false" customHeight="true" outlineLevel="0" collapsed="false">
      <c r="A12" s="19" t="s">
        <v>115</v>
      </c>
      <c r="B12" s="21" t="n">
        <v>2</v>
      </c>
    </row>
    <row r="13" customFormat="false" ht="15" hidden="false" customHeight="true" outlineLevel="0" collapsed="false">
      <c r="A13" s="19" t="s">
        <v>116</v>
      </c>
      <c r="B13" s="23" t="n">
        <f aca="false">B10*B11</f>
        <v>3000</v>
      </c>
    </row>
    <row r="14" customFormat="false" ht="15" hidden="false" customHeight="true" outlineLevel="0" collapsed="false">
      <c r="A14" s="11" t="s">
        <v>117</v>
      </c>
      <c r="B14" s="30" t="n">
        <f aca="false">B13/B12</f>
        <v>1500</v>
      </c>
    </row>
    <row r="16" customFormat="false" ht="15" hidden="false" customHeight="true" outlineLevel="0" collapsed="false">
      <c r="A16" s="29" t="s">
        <v>118</v>
      </c>
    </row>
    <row r="17" customFormat="false" ht="15" hidden="false" customHeight="true" outlineLevel="0" collapsed="false">
      <c r="A17" s="19" t="s">
        <v>113</v>
      </c>
      <c r="B17" s="21" t="n">
        <v>10</v>
      </c>
    </row>
    <row r="18" customFormat="false" ht="15" hidden="false" customHeight="true" outlineLevel="0" collapsed="false">
      <c r="A18" s="19" t="s">
        <v>119</v>
      </c>
      <c r="B18" s="21" t="n">
        <v>75</v>
      </c>
    </row>
    <row r="19" customFormat="false" ht="15" hidden="false" customHeight="true" outlineLevel="0" collapsed="false">
      <c r="A19" s="19" t="s">
        <v>120</v>
      </c>
      <c r="B19" s="21" t="n">
        <v>8</v>
      </c>
    </row>
    <row r="20" customFormat="false" ht="15" hidden="false" customHeight="true" outlineLevel="0" collapsed="false">
      <c r="A20" s="11" t="s">
        <v>121</v>
      </c>
      <c r="B20" s="30" t="n">
        <f aca="false">B17*B18</f>
        <v>750</v>
      </c>
    </row>
    <row r="21" customFormat="false" ht="15" hidden="false" customHeight="true" outlineLevel="0" collapsed="false">
      <c r="A21" s="19" t="s">
        <v>122</v>
      </c>
      <c r="B21" s="23" t="n">
        <f aca="false">B20*B19</f>
        <v>6000</v>
      </c>
    </row>
    <row r="23" customFormat="false" ht="15" hidden="false" customHeight="true" outlineLevel="0" collapsed="false">
      <c r="A23" s="29" t="s">
        <v>123</v>
      </c>
    </row>
    <row r="24" customFormat="false" ht="15" hidden="false" customHeight="true" outlineLevel="0" collapsed="false">
      <c r="A24" s="19" t="s">
        <v>89</v>
      </c>
      <c r="B24" s="12" t="n">
        <v>1.11</v>
      </c>
    </row>
    <row r="25" customFormat="false" ht="15" hidden="false" customHeight="true" outlineLevel="0" collapsed="false">
      <c r="A25" s="19" t="s">
        <v>124</v>
      </c>
      <c r="B25" s="23" t="n">
        <f aca="false">B7/$B$24</f>
        <v>3690.09009009009</v>
      </c>
      <c r="C25" s="23" t="n">
        <f aca="false">C7/$B$24</f>
        <v>176.576576576577</v>
      </c>
    </row>
    <row r="26" customFormat="false" ht="15" hidden="false" customHeight="true" outlineLevel="0" collapsed="false">
      <c r="A26" s="19" t="s">
        <v>125</v>
      </c>
      <c r="B26" s="23" t="n">
        <f aca="false">B14/$B$24</f>
        <v>1351.35135135135</v>
      </c>
    </row>
    <row r="28" customFormat="false" ht="15" hidden="false" customHeight="true" outlineLevel="0" collapsed="false">
      <c r="A28" s="20" t="s">
        <v>126</v>
      </c>
    </row>
    <row r="29" customFormat="false" ht="15" hidden="false" customHeight="true" outlineLevel="0" collapsed="false">
      <c r="A29" s="20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2026-10-01T17:07:01Z</dcterms:created>
  <dc:creator>Leonhard Korowajczuk</dc:creator>
  <dc:description/>
  <dc:language>en-US</dc:language>
  <cp:lastModifiedBy>Leonhard Korowajczuk</cp:lastModifiedBy>
  <dcterms:modified xsi:type="dcterms:W3CDTF">2026-10-26T14:20:12Z</dcterms:modified>
  <cp:revision>0</cp:revision>
  <dc:subject/>
  <dc:title>Tokenization and Embeddings — companion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