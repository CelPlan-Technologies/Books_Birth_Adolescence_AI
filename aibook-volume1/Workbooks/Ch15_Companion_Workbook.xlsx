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oofline" sheetId="2" state="visible" r:id="rId4"/>
    <sheet name="Devices" sheetId="3" state="visible" r:id="rId5"/>
    <sheet name="Rack Sizing" sheetId="4" state="visible" r:id="rId6"/>
    <sheet name="Power" sheetId="5" state="visible" r:id="rId7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<sst xmlns="http://schemas.openxmlformats.org/spreadsheetml/2006/main" count="141" uniqueCount="139">
  <si>
    <t xml:space="preserve">Chapter 15 — Hardware for LLMs</t>
  </si>
  <si>
    <t xml:space="preserve">Companion workbook of The Birth and Adolescence of Artificial Intelligence, Volume 1,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</si>
  <si>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</si>
  <si>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</si>
  <si>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</si>
  <si>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Roofline</t>
  </si>
  <si>
    <t xml:space="preserve">Ridge point and attainable throughput of an H100 SXM.</t>
  </si>
  <si>
    <t xml:space="preserve">Section 15.1, Worked Example 15.1, Figure 15.2</t>
  </si>
  <si>
    <t xml:space="preserve">Devices</t>
  </si>
  <si>
    <t xml:space="preserve">Decode ceilings and full-memory reads per second of Box and Rack devices.</t>
  </si>
  <si>
    <t xml:space="preserve">Tables 15.1 and 15.2, Figure 15.3</t>
  </si>
  <si>
    <t xml:space="preserve">Rack Sizing</t>
  </si>
  <si>
    <t xml:space="preserve">Memory, decode, prefill and replica count for 50 concurrent users.</t>
  </si>
  <si>
    <t xml:space="preserve">Section 15.6, Worked Example 15.2</t>
  </si>
  <si>
    <t xml:space="preserve">Power</t>
  </si>
  <si>
    <t xml:space="preserve">Energy, electricity cost and cost per million tokens of an 8-GPU node.</t>
  </si>
  <si>
    <t xml:space="preserve">Section 15.7, Worked Example 15.3</t>
  </si>
  <si>
    <t xml:space="preserve">Notes</t>
  </si>
  <si>
    <t xml:space="preserve">Vendor specs as of October 2026; dense figures.</t>
  </si>
  <si>
    <t xml:space="preserve">Reference configurations of the Box and the Rack: Table P.3. Units: 1 GB = 10⁹ bytes.</t>
  </si>
  <si>
    <t xml:space="preserve">Roofline: Attainable Throughput (Worked Example 15.1)</t>
  </si>
  <si>
    <t xml:space="preserve">Peak compute (TFLOP/s)</t>
  </si>
  <si>
    <t xml:space="preserve">Memory bandwidth (TB/s)</t>
  </si>
  <si>
    <t xml:space="preserve">Ridge point (FLOPs/byte)</t>
  </si>
  <si>
    <t xml:space="preserve">Workload</t>
  </si>
  <si>
    <t xml:space="preserve">Intensity (FLOPs/byte)</t>
  </si>
  <si>
    <t xml:space="preserve">Attainable TFLOP/s</t>
  </si>
  <si>
    <t xml:space="preserve">Share of peak</t>
  </si>
  <si>
    <t xml:space="preserve">Decode, batch 1, BF16</t>
  </si>
  <si>
    <t xml:space="preserve">Decode, batch 1, 4.5-bit</t>
  </si>
  <si>
    <t xml:space="preserve">Decode, batch 8</t>
  </si>
  <si>
    <t xml:space="preserve">Decode, batch 64</t>
  </si>
  <si>
    <t xml:space="preserve">Decode, batch 256</t>
  </si>
  <si>
    <t xml:space="preserve">Prefill, 2,000 tokens</t>
  </si>
  <si>
    <t xml:space="preserve">Attainable = min(peak, intensity × bandwidth); intensity ≈ batch size for BF16 weights (Section 2.5.5). H100 SXM dense BF16 figures from Table 15.1.</t>
  </si>
  <si>
    <t xml:space="preserve">Decode Ceilings on Box and Rack Devices (Table 15.2, Figure 15.3)</t>
  </si>
  <si>
    <t xml:space="preserve">Model A: Llama 3.1 8B Q4_K_M, GB per token</t>
  </si>
  <si>
    <t xml:space="preserve">Model B: Llama 3.1 70B Q4_K_M, GB per token</t>
  </si>
  <si>
    <t xml:space="preserve">Achieved share of the ceiling (60–80%)</t>
  </si>
  <si>
    <t xml:space="preserve">Device</t>
  </si>
  <si>
    <t xml:space="preserve">Memory (GB)</t>
  </si>
  <si>
    <t xml:space="preserve">Bandwidth (GB/s)</t>
  </si>
  <si>
    <t xml:space="preserve">Model A ceiling (tok/s)</t>
  </si>
  <si>
    <t xml:space="preserve">Model A realistic</t>
  </si>
  <si>
    <t xml:space="preserve">Model B fits?</t>
  </si>
  <si>
    <t xml:space="preserve">Model B ceiling (tok/s)</t>
  </si>
  <si>
    <t xml:space="preserve">Full-memory reads per second</t>
  </si>
  <si>
    <t xml:space="preserve">Core Ultra 7 258V laptop (minimum Box)</t>
  </si>
  <si>
    <t xml:space="preserve">RTX PRO 4000 Blackwell (recommended Box)</t>
  </si>
  <si>
    <t xml:space="preserve">RTX PRO 4500 Blackwell</t>
  </si>
  <si>
    <t xml:space="preserve">RTX PRO 5000 Blackwell, 48 GB</t>
  </si>
  <si>
    <t xml:space="preserve">RTX PRO 5000 Blackwell, 72 GB</t>
  </si>
  <si>
    <t xml:space="preserve">RTX PRO 6000 Blackwell (advanced Box)</t>
  </si>
  <si>
    <t xml:space="preserve">DGX Spark / Dell Pro Max with GB10</t>
  </si>
  <si>
    <t xml:space="preserve">Ryzen AI Max+ 395</t>
  </si>
  <si>
    <t xml:space="preserve">Apple M5 Ultra (Mac Studio, 2026)</t>
  </si>
  <si>
    <t xml:space="preserve">Core Ultra 7 365 laptop</t>
  </si>
  <si>
    <t xml:space="preserve">GeForce RTX 5090</t>
  </si>
  <si>
    <t xml:space="preserve">Apple M5 Max (614 GB/s version)</t>
  </si>
  <si>
    <t xml:space="preserve">Apple M3 Ultra (Mac Studio, 2025)</t>
  </si>
  <si>
    <t xml:space="preserve">DGX Station GB300 (GPU memory)</t>
  </si>
  <si>
    <t xml:space="preserve">L40S</t>
  </si>
  <si>
    <t xml:space="preserve">H100 SXM</t>
  </si>
  <si>
    <t xml:space="preserve">H200</t>
  </si>
  <si>
    <t xml:space="preserve">B200</t>
  </si>
  <si>
    <t xml:space="preserve">B300</t>
  </si>
  <si>
    <t xml:space="preserve">Rubin</t>
  </si>
  <si>
    <t xml:space="preserve">MI300X</t>
  </si>
  <si>
    <t xml:space="preserve">MI355X</t>
  </si>
  <si>
    <t xml:space="preserve">MI455X</t>
  </si>
  <si>
    <t xml:space="preserve">Ceiling = bandwidth ÷ GB read per token (Table 15.2: 4.6 GB for Llama 3.1 8B, 43 GB for 70B, both Q4_K_M); real systems reach about 60–80% of it (Section 15.3). Model B counts as fitting below 95% of memory.</t>
  </si>
  <si>
    <t xml:space="preserve">Memory and bandwidth: vendor specifications as of October 2026 (Tables 15.1 and 15.2, Section 15.3); the devices are those of Figure 15.3, whose dotted lines are the last column.</t>
  </si>
  <si>
    <t xml:space="preserve">Sizing a Corporate Rack for 50 Concurrent Users (Worked Example 15.2)</t>
  </si>
  <si>
    <t xml:space="preserve">Concurrent sessions at peak</t>
  </si>
  <si>
    <t xml:space="preserve">Requests per session per minute</t>
  </si>
  <si>
    <t xml:space="preserve">Prompt tokens</t>
  </si>
  <si>
    <t xml:space="preserve">Answer tokens</t>
  </si>
  <si>
    <t xml:space="preserve">Model parameters (B, active)</t>
  </si>
  <si>
    <t xml:space="preserve">Bytes per weight (FP8)</t>
  </si>
  <si>
    <t xml:space="preserve">KV bytes per token (FP8 cache, 0.164 MB)</t>
  </si>
  <si>
    <t xml:space="preserve">GPUs per replica (tensor parallel)</t>
  </si>
  <si>
    <t xml:space="preserve">Memory per GPU (GB)</t>
  </si>
  <si>
    <t xml:space="preserve">Bandwidth per GPU (GB/s)</t>
  </si>
  <si>
    <t xml:space="preserve">Effective FP8 compute per replica (TFLOP/s, 40% of peak)</t>
  </si>
  <si>
    <t xml:space="preserve">Reserve per replica (GB)</t>
  </si>
  <si>
    <t xml:space="preserve">Target tokens/s per user</t>
  </si>
  <si>
    <t xml:space="preserve">TTFT target (s)</t>
  </si>
  <si>
    <t xml:space="preserve">Share of the ceiling reached, low (Section 15.3)</t>
  </si>
  <si>
    <t xml:space="preserve">Share of the ceiling reached, high</t>
  </si>
  <si>
    <t xml:space="preserve">Share of the ceiling assumed for sizing</t>
  </si>
  <si>
    <t xml:space="preserve">Decode-step overhead of the PCIe all-reduces</t>
  </si>
  <si>
    <t xml:space="preserve">Power per GPU (W)</t>
  </si>
  <si>
    <t xml:space="preserve">Weights (GB)</t>
  </si>
  <si>
    <t xml:space="preserve">KV space per replica (GB)</t>
  </si>
  <si>
    <t xml:space="preserve">KV tokens that fit per replica</t>
  </si>
  <si>
    <t xml:space="preserve">Sessions that fit per replica</t>
  </si>
  <si>
    <t xml:space="preserve">KV read per step, all sessions on one replica (GB)</t>
  </si>
  <si>
    <t xml:space="preserve">Bytes read per step (GB)</t>
  </si>
  <si>
    <t xml:space="preserve">Replica bandwidth (TB/s)</t>
  </si>
  <si>
    <t xml:space="preserve">Decode step time (ms)</t>
  </si>
  <si>
    <t xml:space="preserve">Tokens/s per user at the bandwidth ceiling</t>
  </si>
  <si>
    <t xml:space="preserve">Tokens/s in total at the ceiling</t>
  </si>
  <si>
    <t xml:space="preserve">Tokens/s per user at the low share</t>
  </si>
  <si>
    <t xml:space="preserve">Tokens/s per user at the high share</t>
  </si>
  <si>
    <t xml:space="preserve">Arrival rate (requests/s)</t>
  </si>
  <si>
    <t xml:space="preserve">Prefill load (TFLOP/s)</t>
  </si>
  <si>
    <t xml:space="preserve">Prefill share of one replica's effective compute</t>
  </si>
  <si>
    <t xml:space="preserve">Prefill time of one prompt (s)</t>
  </si>
  <si>
    <t xml:space="preserve">TTFT target met if prompts do not queue?</t>
  </si>
  <si>
    <t xml:space="preserve">Requests in flight on average (Little's law)</t>
  </si>
  <si>
    <t xml:space="preserve">Replicas</t>
  </si>
  <si>
    <t xml:space="preserve">Peak sessions per replica</t>
  </si>
  <si>
    <t xml:space="preserve">Ceiling at peak (tokens/s per user)</t>
  </si>
  <si>
    <t xml:space="preserve">Realistic at peak (tokens/s per user)</t>
  </si>
  <si>
    <t xml:space="preserve">Meets target?</t>
  </si>
  <si>
    <t xml:space="preserve">Average sessions per replica</t>
  </si>
  <si>
    <t xml:space="preserve">Realistic at average load (tokens/s per user)</t>
  </si>
  <si>
    <t xml:space="preserve">Replicas needed (fewest that meet the target at peak)</t>
  </si>
  <si>
    <t xml:space="preserve">Replicas with one more for margin and failover</t>
  </si>
  <si>
    <t xml:space="preserve">GPUs</t>
  </si>
  <si>
    <t xml:space="preserve">GPU power (kW)</t>
  </si>
  <si>
    <t xml:space="preserve">Per-user speed = bandwidth ceiling × share reached ÷ (1 + all-reduce overhead), sessions split evenly across replicas; as in the text, a replica count meets the target when its speed rounds to it (24.5 ≈ 25 tokens/s with 17 sessions).</t>
  </si>
  <si>
    <t xml:space="preserve">Little's law (Section 16.6): arrival rate × (prefill time + answer tokens × step time). Prefix caching and an MoE or smaller model can halve the hardware; the server draws about 6–7 kW (Power sheet).</t>
  </si>
  <si>
    <t xml:space="preserve">Energy of an Inference Node (Worked Example 15.3)</t>
  </si>
  <si>
    <t xml:space="preserve">Rest of server (W)</t>
  </si>
  <si>
    <t xml:space="preserve">Average utilization of peak power</t>
  </si>
  <si>
    <t xml:space="preserve">PUE</t>
  </si>
  <si>
    <t xml:space="preserve">Electricity ($/kWh)</t>
  </si>
  <si>
    <t xml:space="preserve">Average tokens/s while in use</t>
  </si>
  <si>
    <t xml:space="preserve">Hours in use per year</t>
  </si>
  <si>
    <t xml:space="preserve">GPU power at full load (kW)</t>
  </si>
  <si>
    <t xml:space="preserve">Peak power (kW)</t>
  </si>
  <si>
    <t xml:space="preserve">Average IT power (kW)</t>
  </si>
  <si>
    <t xml:space="preserve">IT energy per year (kWh)</t>
  </si>
  <si>
    <t xml:space="preserve">Facility energy per year (kWh)</t>
  </si>
  <si>
    <t xml:space="preserve">Electricity cost per year ($)</t>
  </si>
  <si>
    <t xml:space="preserve">Tokens per year (billions)</t>
  </si>
  <si>
    <t xml:space="preserve">Electricity per million tokens ($)</t>
  </si>
  <si>
    <t xml:space="preserve">Electricity is small next to depreciation; Chapter 29 (Volume 2) combines both into a break-even with API prices. Facility power = IT load × PUE (about 1.2–1.5, Section 15.7).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</si>
</sst>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#,##0"/>
    <numFmt numFmtId="167" formatCode="#,##0.0"/>
    <numFmt numFmtId="168" formatCode="0.00%"/>
    <numFmt numFmtId="169" formatCode="0.0"/>
    <numFmt numFmtId="170" formatCode="0%"/>
    <numFmt numFmtId="171" formatCode="0.00"/>
    <numFmt numFmtId="172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sz val="11"/>
      <name val="Cambria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</row>
    <row r="5" customFormat="false" ht="30" hidden="false" customHeight="true" outlineLevel="0" collapsed="false">
      <c r="A5" s="6" t="s">
        <v>5</v>
      </c>
      <c r="B5" s="7" t="s">
        <v>6</v>
      </c>
      <c r="C5" s="7" t="s">
        <v>7</v>
      </c>
    </row>
    <row r="6" customFormat="false" ht="15" hidden="false" customHeight="true" outlineLevel="0" collapsed="false">
      <c r="A6" s="6" t="s">
        <v>8</v>
      </c>
      <c r="B6" s="7" t="s">
        <v>9</v>
      </c>
      <c r="C6" s="7" t="s">
        <v>10</v>
      </c>
    </row>
    <row r="7" customFormat="false" ht="15" hidden="false" customHeight="true" outlineLevel="0" collapsed="false">
      <c r="A7" s="6" t="s">
        <v>11</v>
      </c>
      <c r="B7" s="7" t="s">
        <v>12</v>
      </c>
      <c r="C7" s="7" t="s">
        <v>13</v>
      </c>
    </row>
    <row r="8" customFormat="false" ht="15" hidden="false" customHeight="true" outlineLevel="0" collapsed="false">
      <c r="A8" s="6" t="s">
        <v>14</v>
      </c>
      <c r="B8" s="7" t="s">
        <v>15</v>
      </c>
      <c r="C8" s="7" t="s">
        <v>16</v>
      </c>
    </row>
    <row r="9" customFormat="false" ht="15" hidden="false" customHeight="true" outlineLevel="0" collapsed="false">
      <c r="A9" s="4"/>
    </row>
    <row r="10" customFormat="false" ht="15" hidden="false" customHeight="false" outlineLevel="0" collapsed="false">
      <c r="A10" s="8" t="s">
        <v>17</v>
      </c>
    </row>
    <row r="11" customFormat="false" ht="15" hidden="false" customHeight="true" outlineLevel="0" collapsed="false">
      <c r="A11" s="9" t="s">
        <v>18</v>
      </c>
      <c r="B11" s="9"/>
      <c r="C11" s="9"/>
    </row>
    <row r="12" customFormat="false" ht="15" hidden="false" customHeight="true" outlineLevel="0" collapsed="false">
      <c r="A12" s="9" t="s">
        <v>19</v>
      </c>
      <c r="B12" s="9"/>
      <c r="C12" s="9"/>
    </row>
  </sheetData>
  <mergeCells count="3">
    <mergeCell ref="A2:C2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14"/>
  </cols>
  <sheetData>
    <row r="1" customFormat="false" ht="15.75" hidden="false" customHeight="true" outlineLevel="0" collapsed="false">
      <c r="A1" s="10" t="s">
        <v>20</v>
      </c>
    </row>
    <row r="3" customFormat="false" ht="15" hidden="false" customHeight="true" outlineLevel="0" collapsed="false">
      <c r="A3" s="11" t="s">
        <v>21</v>
      </c>
      <c r="B3" s="12" t="n">
        <v>989</v>
      </c>
    </row>
    <row r="4" customFormat="false" ht="15" hidden="false" customHeight="true" outlineLevel="0" collapsed="false">
      <c r="A4" s="11" t="s">
        <v>22</v>
      </c>
      <c r="B4" s="12" t="n">
        <v>3.35</v>
      </c>
    </row>
    <row r="5" customFormat="false" ht="15" hidden="false" customHeight="true" outlineLevel="0" collapsed="false">
      <c r="A5" s="13" t="s">
        <v>23</v>
      </c>
      <c r="B5" s="14" t="n">
        <f aca="false">B3/B4</f>
        <v>295.223880597015</v>
      </c>
    </row>
    <row r="7" customFormat="false" ht="15" hidden="false" customHeight="true" outlineLevel="0" collapsed="false">
      <c r="A7" s="15" t="s">
        <v>24</v>
      </c>
      <c r="B7" s="15" t="s">
        <v>25</v>
      </c>
      <c r="C7" s="15" t="s">
        <v>26</v>
      </c>
      <c r="D7" s="15" t="s">
        <v>27</v>
      </c>
    </row>
    <row r="8" customFormat="false" ht="15" hidden="false" customHeight="true" outlineLevel="0" collapsed="false">
      <c r="A8" s="11" t="s">
        <v>28</v>
      </c>
      <c r="B8" s="16" t="n">
        <v>1</v>
      </c>
      <c r="C8" s="17" t="n">
        <f aca="false">MIN($B$3,B8*$B$4)</f>
        <v>3.35</v>
      </c>
      <c r="D8" s="18" t="n">
        <f aca="false">C8/$B$3</f>
        <v>0.00338725985844287</v>
      </c>
    </row>
    <row r="9" customFormat="false" ht="15" hidden="false" customHeight="true" outlineLevel="0" collapsed="false">
      <c r="A9" s="11" t="s">
        <v>29</v>
      </c>
      <c r="B9" s="16" t="n">
        <v>3.6</v>
      </c>
      <c r="C9" s="17" t="n">
        <f aca="false">MIN($B$3,B9*$B$4)</f>
        <v>12.06</v>
      </c>
      <c r="D9" s="18" t="n">
        <f aca="false">C9/$B$3</f>
        <v>0.0121941354903943</v>
      </c>
    </row>
    <row r="10" customFormat="false" ht="15" hidden="false" customHeight="true" outlineLevel="0" collapsed="false">
      <c r="A10" s="11" t="s">
        <v>30</v>
      </c>
      <c r="B10" s="16" t="n">
        <v>8</v>
      </c>
      <c r="C10" s="17" t="n">
        <f aca="false">MIN($B$3,B10*$B$4)</f>
        <v>26.8</v>
      </c>
      <c r="D10" s="18" t="n">
        <f aca="false">C10/$B$3</f>
        <v>0.027098078867543</v>
      </c>
    </row>
    <row r="11" customFormat="false" ht="15" hidden="false" customHeight="true" outlineLevel="0" collapsed="false">
      <c r="A11" s="11" t="s">
        <v>31</v>
      </c>
      <c r="B11" s="16" t="n">
        <v>64</v>
      </c>
      <c r="C11" s="17" t="n">
        <f aca="false">MIN($B$3,B11*$B$4)</f>
        <v>214.4</v>
      </c>
      <c r="D11" s="18" t="n">
        <f aca="false">C11/$B$3</f>
        <v>0.216784630940344</v>
      </c>
    </row>
    <row r="12" customFormat="false" ht="15" hidden="false" customHeight="true" outlineLevel="0" collapsed="false">
      <c r="A12" s="11" t="s">
        <v>32</v>
      </c>
      <c r="B12" s="16" t="n">
        <v>256</v>
      </c>
      <c r="C12" s="17" t="n">
        <f aca="false">MIN($B$3,B12*$B$4)</f>
        <v>857.6</v>
      </c>
      <c r="D12" s="18" t="n">
        <f aca="false">C12/$B$3</f>
        <v>0.867138523761375</v>
      </c>
    </row>
    <row r="13" customFormat="false" ht="15" hidden="false" customHeight="true" outlineLevel="0" collapsed="false">
      <c r="A13" s="11" t="s">
        <v>33</v>
      </c>
      <c r="B13" s="16" t="n">
        <v>2000</v>
      </c>
      <c r="C13" s="17" t="n">
        <f aca="false">MIN($B$3,B13*$B$4)</f>
        <v>989</v>
      </c>
      <c r="D13" s="18" t="n">
        <f aca="false">C13/$B$3</f>
        <v>1</v>
      </c>
    </row>
    <row r="15" customFormat="false" ht="15" hidden="false" customHeight="true" outlineLevel="0" collapsed="false">
      <c r="A15" s="1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8" min="7" style="1" width="16"/>
  </cols>
  <sheetData>
    <row r="1" customFormat="false" ht="15.75" hidden="false" customHeight="true" outlineLevel="0" collapsed="false">
      <c r="A1" s="10" t="s">
        <v>35</v>
      </c>
    </row>
    <row r="3" customFormat="false" ht="15" hidden="false" customHeight="true" outlineLevel="0" collapsed="false">
      <c r="A3" s="11" t="s">
        <v>36</v>
      </c>
      <c r="B3" s="20" t="n">
        <v>4.6</v>
      </c>
    </row>
    <row r="4" customFormat="false" ht="15" hidden="false" customHeight="true" outlineLevel="0" collapsed="false">
      <c r="A4" s="11" t="s">
        <v>37</v>
      </c>
      <c r="B4" s="20" t="n">
        <v>43</v>
      </c>
    </row>
    <row r="5" customFormat="false" ht="15" hidden="false" customHeight="true" outlineLevel="0" collapsed="false">
      <c r="A5" s="11" t="s">
        <v>38</v>
      </c>
      <c r="B5" s="21" t="n">
        <v>0.7</v>
      </c>
    </row>
    <row r="7" customFormat="false" ht="30" hidden="false" customHeight="true" outlineLevel="0" collapsed="false">
      <c r="A7" s="15" t="s">
        <v>39</v>
      </c>
      <c r="B7" s="15" t="s">
        <v>40</v>
      </c>
      <c r="C7" s="15" t="s">
        <v>41</v>
      </c>
      <c r="D7" s="15" t="s">
        <v>42</v>
      </c>
      <c r="E7" s="15" t="s">
        <v>43</v>
      </c>
      <c r="F7" s="15" t="s">
        <v>44</v>
      </c>
      <c r="G7" s="15" t="s">
        <v>45</v>
      </c>
      <c r="H7" s="15" t="s">
        <v>46</v>
      </c>
    </row>
    <row r="8" customFormat="false" ht="15" hidden="false" customHeight="true" outlineLevel="0" collapsed="false">
      <c r="A8" s="22" t="s">
        <v>47</v>
      </c>
      <c r="B8" s="23" t="n">
        <v>32</v>
      </c>
      <c r="C8" s="16" t="n">
        <v>136.5</v>
      </c>
      <c r="D8" s="24" t="n">
        <f aca="false">IF($B$3&lt;B8,C8/$B$3,0)</f>
        <v>29.6739130434783</v>
      </c>
      <c r="E8" s="24" t="n">
        <f aca="false">D8*$B$5</f>
        <v>20.7717391304348</v>
      </c>
      <c r="F8" s="11" t="str">
        <f aca="false">IF($B$4&lt;B8*0.95,"yes","no")</f>
        <v>no</v>
      </c>
      <c r="G8" s="25" t="n">
        <f aca="false">IF(F8="yes",C8/$B$4,0)</f>
        <v>0</v>
      </c>
      <c r="H8" s="25" t="n">
        <f aca="false">C8/B8</f>
        <v>4.265625</v>
      </c>
    </row>
    <row r="9" customFormat="false" ht="15" hidden="false" customHeight="true" outlineLevel="0" collapsed="false">
      <c r="A9" s="22" t="s">
        <v>48</v>
      </c>
      <c r="B9" s="23" t="n">
        <v>24</v>
      </c>
      <c r="C9" s="16" t="n">
        <v>672</v>
      </c>
      <c r="D9" s="24" t="n">
        <f aca="false">IF($B$3&lt;B9,C9/$B$3,0)</f>
        <v>146.086956521739</v>
      </c>
      <c r="E9" s="24" t="n">
        <f aca="false">D9*$B$5</f>
        <v>102.260869565217</v>
      </c>
      <c r="F9" s="11" t="str">
        <f aca="false">IF($B$4&lt;B9*0.95,"yes","no")</f>
        <v>no</v>
      </c>
      <c r="G9" s="25" t="n">
        <f aca="false">IF(F9="yes",C9/$B$4,0)</f>
        <v>0</v>
      </c>
      <c r="H9" s="25" t="n">
        <f aca="false">C9/B9</f>
        <v>28</v>
      </c>
    </row>
    <row r="10" customFormat="false" ht="15" hidden="false" customHeight="true" outlineLevel="0" collapsed="false">
      <c r="A10" s="22" t="s">
        <v>49</v>
      </c>
      <c r="B10" s="23" t="n">
        <v>32</v>
      </c>
      <c r="C10" s="16" t="n">
        <v>896</v>
      </c>
      <c r="D10" s="24" t="n">
        <f aca="false">IF($B$3&lt;B10,C10/$B$3,0)</f>
        <v>194.782608695652</v>
      </c>
      <c r="E10" s="24" t="n">
        <f aca="false">D10*$B$5</f>
        <v>136.347826086957</v>
      </c>
      <c r="F10" s="11" t="str">
        <f aca="false">IF($B$4&lt;B10*0.95,"yes","no")</f>
        <v>no</v>
      </c>
      <c r="G10" s="25" t="n">
        <f aca="false">IF(F10="yes",C10/$B$4,0)</f>
        <v>0</v>
      </c>
      <c r="H10" s="25" t="n">
        <f aca="false">C10/B10</f>
        <v>28</v>
      </c>
    </row>
    <row r="11" customFormat="false" ht="15" hidden="false" customHeight="true" outlineLevel="0" collapsed="false">
      <c r="A11" s="22" t="s">
        <v>50</v>
      </c>
      <c r="B11" s="23" t="n">
        <v>48</v>
      </c>
      <c r="C11" s="16" t="n">
        <v>1344</v>
      </c>
      <c r="D11" s="24" t="n">
        <f aca="false">IF($B$3&lt;B11,C11/$B$3,0)</f>
        <v>292.173913043478</v>
      </c>
      <c r="E11" s="24" t="n">
        <f aca="false">D11*$B$5</f>
        <v>204.521739130435</v>
      </c>
      <c r="F11" s="11" t="str">
        <f aca="false">IF($B$4&lt;B11*0.95,"yes","no")</f>
        <v>yes</v>
      </c>
      <c r="G11" s="25" t="n">
        <f aca="false">IF(F11="yes",C11/$B$4,0)</f>
        <v>31.2558139534884</v>
      </c>
      <c r="H11" s="25" t="n">
        <f aca="false">C11/B11</f>
        <v>28</v>
      </c>
    </row>
    <row r="12" customFormat="false" ht="15" hidden="false" customHeight="true" outlineLevel="0" collapsed="false">
      <c r="A12" s="22" t="s">
        <v>51</v>
      </c>
      <c r="B12" s="23" t="n">
        <v>72</v>
      </c>
      <c r="C12" s="16" t="n">
        <v>1344</v>
      </c>
      <c r="D12" s="24" t="n">
        <f aca="false">IF($B$3&lt;B12,C12/$B$3,0)</f>
        <v>292.173913043478</v>
      </c>
      <c r="E12" s="24" t="n">
        <f aca="false">D12*$B$5</f>
        <v>204.521739130435</v>
      </c>
      <c r="F12" s="11" t="str">
        <f aca="false">IF($B$4&lt;B12*0.95,"yes","no")</f>
        <v>yes</v>
      </c>
      <c r="G12" s="25" t="n">
        <f aca="false">IF(F12="yes",C12/$B$4,0)</f>
        <v>31.2558139534884</v>
      </c>
      <c r="H12" s="25" t="n">
        <f aca="false">C12/B12</f>
        <v>18.6666666666667</v>
      </c>
    </row>
    <row r="13" customFormat="false" ht="15" hidden="false" customHeight="true" outlineLevel="0" collapsed="false">
      <c r="A13" s="22" t="s">
        <v>52</v>
      </c>
      <c r="B13" s="23" t="n">
        <v>96</v>
      </c>
      <c r="C13" s="16" t="n">
        <v>1792</v>
      </c>
      <c r="D13" s="24" t="n">
        <f aca="false">IF($B$3&lt;B13,C13/$B$3,0)</f>
        <v>389.565217391304</v>
      </c>
      <c r="E13" s="24" t="n">
        <f aca="false">D13*$B$5</f>
        <v>272.695652173913</v>
      </c>
      <c r="F13" s="11" t="str">
        <f aca="false">IF($B$4&lt;B13*0.95,"yes","no")</f>
        <v>yes</v>
      </c>
      <c r="G13" s="25" t="n">
        <f aca="false">IF(F13="yes",C13/$B$4,0)</f>
        <v>41.6744186046512</v>
      </c>
      <c r="H13" s="25" t="n">
        <f aca="false">C13/B13</f>
        <v>18.6666666666667</v>
      </c>
    </row>
    <row r="14" customFormat="false" ht="15" hidden="false" customHeight="true" outlineLevel="0" collapsed="false">
      <c r="A14" s="22" t="s">
        <v>53</v>
      </c>
      <c r="B14" s="23" t="n">
        <v>128</v>
      </c>
      <c r="C14" s="16" t="n">
        <v>273</v>
      </c>
      <c r="D14" s="24" t="n">
        <f aca="false">IF($B$3&lt;B14,C14/$B$3,0)</f>
        <v>59.3478260869565</v>
      </c>
      <c r="E14" s="24" t="n">
        <f aca="false">D14*$B$5</f>
        <v>41.5434782608696</v>
      </c>
      <c r="F14" s="11" t="str">
        <f aca="false">IF($B$4&lt;B14*0.95,"yes","no")</f>
        <v>yes</v>
      </c>
      <c r="G14" s="25" t="n">
        <f aca="false">IF(F14="yes",C14/$B$4,0)</f>
        <v>6.34883720930233</v>
      </c>
      <c r="H14" s="25" t="n">
        <f aca="false">C14/B14</f>
        <v>2.1328125</v>
      </c>
    </row>
    <row r="15" customFormat="false" ht="15" hidden="false" customHeight="true" outlineLevel="0" collapsed="false">
      <c r="A15" s="22" t="s">
        <v>54</v>
      </c>
      <c r="B15" s="23" t="n">
        <v>128</v>
      </c>
      <c r="C15" s="16" t="n">
        <v>256</v>
      </c>
      <c r="D15" s="24" t="n">
        <f aca="false">IF($B$3&lt;B15,C15/$B$3,0)</f>
        <v>55.6521739130435</v>
      </c>
      <c r="E15" s="24" t="n">
        <f aca="false">D15*$B$5</f>
        <v>38.9565217391304</v>
      </c>
      <c r="F15" s="11" t="str">
        <f aca="false">IF($B$4&lt;B15*0.95,"yes","no")</f>
        <v>yes</v>
      </c>
      <c r="G15" s="25" t="n">
        <f aca="false">IF(F15="yes",C15/$B$4,0)</f>
        <v>5.95348837209302</v>
      </c>
      <c r="H15" s="25" t="n">
        <f aca="false">C15/B15</f>
        <v>2</v>
      </c>
    </row>
    <row r="16" customFormat="false" ht="15" hidden="false" customHeight="true" outlineLevel="0" collapsed="false">
      <c r="A16" s="22" t="s">
        <v>55</v>
      </c>
      <c r="B16" s="23" t="n">
        <v>512</v>
      </c>
      <c r="C16" s="16" t="n">
        <v>1200</v>
      </c>
      <c r="D16" s="24" t="n">
        <f aca="false">IF($B$3&lt;B16,C16/$B$3,0)</f>
        <v>260.869565217391</v>
      </c>
      <c r="E16" s="24" t="n">
        <f aca="false">D16*$B$5</f>
        <v>182.608695652174</v>
      </c>
      <c r="F16" s="11" t="str">
        <f aca="false">IF($B$4&lt;B16*0.95,"yes","no")</f>
        <v>yes</v>
      </c>
      <c r="G16" s="25" t="n">
        <f aca="false">IF(F16="yes",C16/$B$4,0)</f>
        <v>27.906976744186</v>
      </c>
      <c r="H16" s="25" t="n">
        <f aca="false">C16/B16</f>
        <v>2.34375</v>
      </c>
    </row>
    <row r="17" customFormat="false" ht="15" hidden="false" customHeight="true" outlineLevel="0" collapsed="false">
      <c r="A17" s="22" t="s">
        <v>56</v>
      </c>
      <c r="B17" s="23" t="n">
        <v>96</v>
      </c>
      <c r="C17" s="16" t="n">
        <v>119.5</v>
      </c>
      <c r="D17" s="24" t="n">
        <f aca="false">IF($B$3&lt;B17,C17/$B$3,0)</f>
        <v>25.9782608695652</v>
      </c>
      <c r="E17" s="24" t="n">
        <f aca="false">D17*$B$5</f>
        <v>18.1847826086957</v>
      </c>
      <c r="F17" s="11" t="str">
        <f aca="false">IF($B$4&lt;B17*0.95,"yes","no")</f>
        <v>yes</v>
      </c>
      <c r="G17" s="25" t="n">
        <f aca="false">IF(F17="yes",C17/$B$4,0)</f>
        <v>2.77906976744186</v>
      </c>
      <c r="H17" s="25" t="n">
        <f aca="false">C17/B17</f>
        <v>1.24479166666667</v>
      </c>
    </row>
    <row r="18" customFormat="false" ht="15" hidden="false" customHeight="true" outlineLevel="0" collapsed="false">
      <c r="A18" s="22" t="s">
        <v>57</v>
      </c>
      <c r="B18" s="23" t="n">
        <v>32</v>
      </c>
      <c r="C18" s="16" t="n">
        <v>1792</v>
      </c>
      <c r="D18" s="24" t="n">
        <f aca="false">IF($B$3&lt;B18,C18/$B$3,0)</f>
        <v>389.565217391304</v>
      </c>
      <c r="E18" s="24" t="n">
        <f aca="false">D18*$B$5</f>
        <v>272.695652173913</v>
      </c>
      <c r="F18" s="11" t="str">
        <f aca="false">IF($B$4&lt;B18*0.95,"yes","no")</f>
        <v>no</v>
      </c>
      <c r="G18" s="25" t="n">
        <f aca="false">IF(F18="yes",C18/$B$4,0)</f>
        <v>0</v>
      </c>
      <c r="H18" s="25" t="n">
        <f aca="false">C18/B18</f>
        <v>56</v>
      </c>
    </row>
    <row r="19" customFormat="false" ht="15" hidden="false" customHeight="true" outlineLevel="0" collapsed="false">
      <c r="A19" s="22" t="s">
        <v>58</v>
      </c>
      <c r="B19" s="23" t="n">
        <v>128</v>
      </c>
      <c r="C19" s="16" t="n">
        <v>614</v>
      </c>
      <c r="D19" s="24" t="n">
        <f aca="false">IF($B$3&lt;B19,C19/$B$3,0)</f>
        <v>133.478260869565</v>
      </c>
      <c r="E19" s="24" t="n">
        <f aca="false">D19*$B$5</f>
        <v>93.4347826086956</v>
      </c>
      <c r="F19" s="11" t="str">
        <f aca="false">IF($B$4&lt;B19*0.95,"yes","no")</f>
        <v>yes</v>
      </c>
      <c r="G19" s="25" t="n">
        <f aca="false">IF(F19="yes",C19/$B$4,0)</f>
        <v>14.2790697674419</v>
      </c>
      <c r="H19" s="25" t="n">
        <f aca="false">C19/B19</f>
        <v>4.796875</v>
      </c>
    </row>
    <row r="20" customFormat="false" ht="15" hidden="false" customHeight="true" outlineLevel="0" collapsed="false">
      <c r="A20" s="22" t="s">
        <v>59</v>
      </c>
      <c r="B20" s="23" t="n">
        <v>512</v>
      </c>
      <c r="C20" s="16" t="n">
        <v>819</v>
      </c>
      <c r="D20" s="24" t="n">
        <f aca="false">IF($B$3&lt;B20,C20/$B$3,0)</f>
        <v>178.04347826087</v>
      </c>
      <c r="E20" s="24" t="n">
        <f aca="false">D20*$B$5</f>
        <v>124.630434782609</v>
      </c>
      <c r="F20" s="11" t="str">
        <f aca="false">IF($B$4&lt;B20*0.95,"yes","no")</f>
        <v>yes</v>
      </c>
      <c r="G20" s="25" t="n">
        <f aca="false">IF(F20="yes",C20/$B$4,0)</f>
        <v>19.046511627907</v>
      </c>
      <c r="H20" s="25" t="n">
        <f aca="false">C20/B20</f>
        <v>1.599609375</v>
      </c>
    </row>
    <row r="21" customFormat="false" ht="15" hidden="false" customHeight="true" outlineLevel="0" collapsed="false">
      <c r="A21" s="22" t="s">
        <v>60</v>
      </c>
      <c r="B21" s="23" t="n">
        <v>252</v>
      </c>
      <c r="C21" s="16" t="n">
        <v>7100</v>
      </c>
      <c r="D21" s="24" t="n">
        <f aca="false">IF($B$3&lt;B21,C21/$B$3,0)</f>
        <v>1543.47826086957</v>
      </c>
      <c r="E21" s="24" t="n">
        <f aca="false">D21*$B$5</f>
        <v>1080.4347826087</v>
      </c>
      <c r="F21" s="11" t="str">
        <f aca="false">IF($B$4&lt;B21*0.95,"yes","no")</f>
        <v>yes</v>
      </c>
      <c r="G21" s="25" t="n">
        <f aca="false">IF(F21="yes",C21/$B$4,0)</f>
        <v>165.116279069767</v>
      </c>
      <c r="H21" s="25" t="n">
        <f aca="false">C21/B21</f>
        <v>28.1746031746032</v>
      </c>
    </row>
    <row r="22" customFormat="false" ht="15" hidden="false" customHeight="true" outlineLevel="0" collapsed="false">
      <c r="A22" s="22" t="s">
        <v>61</v>
      </c>
      <c r="B22" s="23" t="n">
        <v>48</v>
      </c>
      <c r="C22" s="16" t="n">
        <v>864</v>
      </c>
      <c r="D22" s="24" t="n">
        <f aca="false">IF($B$3&lt;B22,C22/$B$3,0)</f>
        <v>187.826086956522</v>
      </c>
      <c r="E22" s="24" t="n">
        <f aca="false">D22*$B$5</f>
        <v>131.478260869565</v>
      </c>
      <c r="F22" s="11" t="str">
        <f aca="false">IF($B$4&lt;B22*0.95,"yes","no")</f>
        <v>yes</v>
      </c>
      <c r="G22" s="25" t="n">
        <f aca="false">IF(F22="yes",C22/$B$4,0)</f>
        <v>20.093023255814</v>
      </c>
      <c r="H22" s="25" t="n">
        <f aca="false">C22/B22</f>
        <v>18</v>
      </c>
    </row>
    <row r="23" customFormat="false" ht="15" hidden="false" customHeight="true" outlineLevel="0" collapsed="false">
      <c r="A23" s="22" t="s">
        <v>62</v>
      </c>
      <c r="B23" s="23" t="n">
        <v>80</v>
      </c>
      <c r="C23" s="16" t="n">
        <v>3350</v>
      </c>
      <c r="D23" s="24" t="n">
        <f aca="false">IF($B$3&lt;B23,C23/$B$3,0)</f>
        <v>728.260869565218</v>
      </c>
      <c r="E23" s="24" t="n">
        <f aca="false">D23*$B$5</f>
        <v>509.782608695652</v>
      </c>
      <c r="F23" s="11" t="str">
        <f aca="false">IF($B$4&lt;B23*0.95,"yes","no")</f>
        <v>yes</v>
      </c>
      <c r="G23" s="25" t="n">
        <f aca="false">IF(F23="yes",C23/$B$4,0)</f>
        <v>77.9069767441861</v>
      </c>
      <c r="H23" s="25" t="n">
        <f aca="false">C23/B23</f>
        <v>41.875</v>
      </c>
    </row>
    <row r="24" customFormat="false" ht="15" hidden="false" customHeight="true" outlineLevel="0" collapsed="false">
      <c r="A24" s="22" t="s">
        <v>63</v>
      </c>
      <c r="B24" s="23" t="n">
        <v>141</v>
      </c>
      <c r="C24" s="16" t="n">
        <v>4800</v>
      </c>
      <c r="D24" s="24" t="n">
        <f aca="false">IF($B$3&lt;B24,C24/$B$3,0)</f>
        <v>1043.47826086957</v>
      </c>
      <c r="E24" s="24" t="n">
        <f aca="false">D24*$B$5</f>
        <v>730.434782608696</v>
      </c>
      <c r="F24" s="11" t="str">
        <f aca="false">IF($B$4&lt;B24*0.95,"yes","no")</f>
        <v>yes</v>
      </c>
      <c r="G24" s="25" t="n">
        <f aca="false">IF(F24="yes",C24/$B$4,0)</f>
        <v>111.627906976744</v>
      </c>
      <c r="H24" s="25" t="n">
        <f aca="false">C24/B24</f>
        <v>34.0425531914894</v>
      </c>
    </row>
    <row r="25" customFormat="false" ht="15" hidden="false" customHeight="true" outlineLevel="0" collapsed="false">
      <c r="A25" s="22" t="s">
        <v>64</v>
      </c>
      <c r="B25" s="23" t="n">
        <v>180</v>
      </c>
      <c r="C25" s="16" t="n">
        <v>8000</v>
      </c>
      <c r="D25" s="24" t="n">
        <f aca="false">IF($B$3&lt;B25,C25/$B$3,0)</f>
        <v>1739.13043478261</v>
      </c>
      <c r="E25" s="24" t="n">
        <f aca="false">D25*$B$5</f>
        <v>1217.39130434783</v>
      </c>
      <c r="F25" s="11" t="str">
        <f aca="false">IF($B$4&lt;B25*0.95,"yes","no")</f>
        <v>yes</v>
      </c>
      <c r="G25" s="25" t="n">
        <f aca="false">IF(F25="yes",C25/$B$4,0)</f>
        <v>186.046511627907</v>
      </c>
      <c r="H25" s="25" t="n">
        <f aca="false">C25/B25</f>
        <v>44.4444444444444</v>
      </c>
    </row>
    <row r="26" customFormat="false" ht="15" hidden="false" customHeight="true" outlineLevel="0" collapsed="false">
      <c r="A26" s="22" t="s">
        <v>65</v>
      </c>
      <c r="B26" s="23" t="n">
        <v>270</v>
      </c>
      <c r="C26" s="16" t="n">
        <v>8000</v>
      </c>
      <c r="D26" s="24" t="n">
        <f aca="false">IF($B$3&lt;B26,C26/$B$3,0)</f>
        <v>1739.13043478261</v>
      </c>
      <c r="E26" s="24" t="n">
        <f aca="false">D26*$B$5</f>
        <v>1217.39130434783</v>
      </c>
      <c r="F26" s="11" t="str">
        <f aca="false">IF($B$4&lt;B26*0.95,"yes","no")</f>
        <v>yes</v>
      </c>
      <c r="G26" s="25" t="n">
        <f aca="false">IF(F26="yes",C26/$B$4,0)</f>
        <v>186.046511627907</v>
      </c>
      <c r="H26" s="25" t="n">
        <f aca="false">C26/B26</f>
        <v>29.6296296296296</v>
      </c>
    </row>
    <row r="27" customFormat="false" ht="15" hidden="false" customHeight="true" outlineLevel="0" collapsed="false">
      <c r="A27" s="22" t="s">
        <v>66</v>
      </c>
      <c r="B27" s="23" t="n">
        <v>288</v>
      </c>
      <c r="C27" s="16" t="n">
        <v>19200</v>
      </c>
      <c r="D27" s="24" t="n">
        <f aca="false">IF($B$3&lt;B27,C27/$B$3,0)</f>
        <v>4173.91304347826</v>
      </c>
      <c r="E27" s="24" t="n">
        <f aca="false">D27*$B$5</f>
        <v>2921.73913043478</v>
      </c>
      <c r="F27" s="11" t="str">
        <f aca="false">IF($B$4&lt;B27*0.95,"yes","no")</f>
        <v>yes</v>
      </c>
      <c r="G27" s="25" t="n">
        <f aca="false">IF(F27="yes",C27/$B$4,0)</f>
        <v>446.511627906977</v>
      </c>
      <c r="H27" s="25" t="n">
        <f aca="false">C27/B27</f>
        <v>66.6666666666667</v>
      </c>
    </row>
    <row r="28" customFormat="false" ht="15" hidden="false" customHeight="true" outlineLevel="0" collapsed="false">
      <c r="A28" s="22" t="s">
        <v>67</v>
      </c>
      <c r="B28" s="23" t="n">
        <v>192</v>
      </c>
      <c r="C28" s="16" t="n">
        <v>5300</v>
      </c>
      <c r="D28" s="24" t="n">
        <f aca="false">IF($B$3&lt;B28,C28/$B$3,0)</f>
        <v>1152.17391304348</v>
      </c>
      <c r="E28" s="24" t="n">
        <f aca="false">D28*$B$5</f>
        <v>806.521739130435</v>
      </c>
      <c r="F28" s="11" t="str">
        <f aca="false">IF($B$4&lt;B28*0.95,"yes","no")</f>
        <v>yes</v>
      </c>
      <c r="G28" s="25" t="n">
        <f aca="false">IF(F28="yes",C28/$B$4,0)</f>
        <v>123.255813953488</v>
      </c>
      <c r="H28" s="25" t="n">
        <f aca="false">C28/B28</f>
        <v>27.6041666666667</v>
      </c>
    </row>
    <row r="29" customFormat="false" ht="15" hidden="false" customHeight="true" outlineLevel="0" collapsed="false">
      <c r="A29" s="22" t="s">
        <v>68</v>
      </c>
      <c r="B29" s="23" t="n">
        <v>288</v>
      </c>
      <c r="C29" s="16" t="n">
        <v>8000</v>
      </c>
      <c r="D29" s="24" t="n">
        <f aca="false">IF($B$3&lt;B29,C29/$B$3,0)</f>
        <v>1739.13043478261</v>
      </c>
      <c r="E29" s="24" t="n">
        <f aca="false">D29*$B$5</f>
        <v>1217.39130434783</v>
      </c>
      <c r="F29" s="11" t="str">
        <f aca="false">IF($B$4&lt;B29*0.95,"yes","no")</f>
        <v>yes</v>
      </c>
      <c r="G29" s="25" t="n">
        <f aca="false">IF(F29="yes",C29/$B$4,0)</f>
        <v>186.046511627907</v>
      </c>
      <c r="H29" s="25" t="n">
        <f aca="false">C29/B29</f>
        <v>27.7777777777778</v>
      </c>
    </row>
    <row r="30" customFormat="false" ht="15" hidden="false" customHeight="true" outlineLevel="0" collapsed="false">
      <c r="A30" s="22" t="s">
        <v>69</v>
      </c>
      <c r="B30" s="23" t="n">
        <v>432</v>
      </c>
      <c r="C30" s="16" t="n">
        <v>23300</v>
      </c>
      <c r="D30" s="24" t="n">
        <f aca="false">IF($B$3&lt;B30,C30/$B$3,0)</f>
        <v>5065.21739130435</v>
      </c>
      <c r="E30" s="24" t="n">
        <f aca="false">D30*$B$5</f>
        <v>3545.65217391304</v>
      </c>
      <c r="F30" s="11" t="str">
        <f aca="false">IF($B$4&lt;B30*0.95,"yes","no")</f>
        <v>yes</v>
      </c>
      <c r="G30" s="25" t="n">
        <f aca="false">IF(F30="yes",C30/$B$4,0)</f>
        <v>541.860465116279</v>
      </c>
      <c r="H30" s="25" t="n">
        <f aca="false">C30/B30</f>
        <v>53.9351851851852</v>
      </c>
    </row>
    <row r="32" customFormat="false" ht="15" hidden="false" customHeight="true" outlineLevel="0" collapsed="false">
      <c r="A32" s="19" t="s">
        <v>70</v>
      </c>
    </row>
    <row r="33" customFormat="false" ht="15" hidden="false" customHeight="true" outlineLevel="0" collapsed="false">
      <c r="A33" s="19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7" min="2" style="1" width="14"/>
  </cols>
  <sheetData>
    <row r="1" customFormat="false" ht="15.75" hidden="false" customHeight="true" outlineLevel="0" collapsed="false">
      <c r="A1" s="10" t="s">
        <v>72</v>
      </c>
    </row>
    <row r="3" customFormat="false" ht="15" hidden="false" customHeight="true" outlineLevel="0" collapsed="false">
      <c r="A3" s="11" t="s">
        <v>73</v>
      </c>
      <c r="B3" s="23" t="n">
        <v>50</v>
      </c>
    </row>
    <row r="4" customFormat="false" ht="15" hidden="false" customHeight="true" outlineLevel="0" collapsed="false">
      <c r="A4" s="11" t="s">
        <v>74</v>
      </c>
      <c r="B4" s="20" t="n">
        <v>1</v>
      </c>
    </row>
    <row r="5" customFormat="false" ht="15" hidden="false" customHeight="true" outlineLevel="0" collapsed="false">
      <c r="A5" s="11" t="s">
        <v>75</v>
      </c>
      <c r="B5" s="23" t="n">
        <v>4000</v>
      </c>
    </row>
    <row r="6" customFormat="false" ht="15" hidden="false" customHeight="true" outlineLevel="0" collapsed="false">
      <c r="A6" s="11" t="s">
        <v>76</v>
      </c>
      <c r="B6" s="23" t="n">
        <v>400</v>
      </c>
    </row>
    <row r="7" customFormat="false" ht="15" hidden="false" customHeight="true" outlineLevel="0" collapsed="false">
      <c r="A7" s="11" t="s">
        <v>77</v>
      </c>
      <c r="B7" s="20" t="n">
        <v>70.6</v>
      </c>
    </row>
    <row r="8" customFormat="false" ht="15" hidden="false" customHeight="true" outlineLevel="0" collapsed="false">
      <c r="A8" s="11" t="s">
        <v>78</v>
      </c>
      <c r="B8" s="26" t="n">
        <v>1</v>
      </c>
    </row>
    <row r="9" customFormat="false" ht="15" hidden="false" customHeight="true" outlineLevel="0" collapsed="false">
      <c r="A9" s="11" t="s">
        <v>79</v>
      </c>
      <c r="B9" s="23" t="n">
        <v>163840</v>
      </c>
    </row>
    <row r="10" customFormat="false" ht="15" hidden="false" customHeight="true" outlineLevel="0" collapsed="false">
      <c r="A10" s="11" t="s">
        <v>80</v>
      </c>
      <c r="B10" s="27" t="n">
        <v>2</v>
      </c>
    </row>
    <row r="11" customFormat="false" ht="15" hidden="false" customHeight="true" outlineLevel="0" collapsed="false">
      <c r="A11" s="11" t="s">
        <v>81</v>
      </c>
      <c r="B11" s="27" t="n">
        <v>96</v>
      </c>
    </row>
    <row r="12" customFormat="false" ht="15" hidden="false" customHeight="true" outlineLevel="0" collapsed="false">
      <c r="A12" s="11" t="s">
        <v>82</v>
      </c>
      <c r="B12" s="23" t="n">
        <v>1597</v>
      </c>
    </row>
    <row r="13" customFormat="false" ht="15" hidden="false" customHeight="true" outlineLevel="0" collapsed="false">
      <c r="A13" s="11" t="s">
        <v>83</v>
      </c>
      <c r="B13" s="23" t="n">
        <v>800</v>
      </c>
    </row>
    <row r="14" customFormat="false" ht="15" hidden="false" customHeight="true" outlineLevel="0" collapsed="false">
      <c r="A14" s="11" t="s">
        <v>84</v>
      </c>
      <c r="B14" s="27" t="n">
        <v>8</v>
      </c>
    </row>
    <row r="15" customFormat="false" ht="15" hidden="false" customHeight="true" outlineLevel="0" collapsed="false">
      <c r="A15" s="11" t="s">
        <v>85</v>
      </c>
      <c r="B15" s="27" t="n">
        <v>25</v>
      </c>
    </row>
    <row r="16" customFormat="false" ht="15" hidden="false" customHeight="true" outlineLevel="0" collapsed="false">
      <c r="A16" s="11" t="s">
        <v>86</v>
      </c>
      <c r="B16" s="20" t="n">
        <v>2</v>
      </c>
    </row>
    <row r="17" customFormat="false" ht="15" hidden="false" customHeight="true" outlineLevel="0" collapsed="false">
      <c r="A17" s="11" t="s">
        <v>87</v>
      </c>
      <c r="B17" s="21" t="n">
        <v>0.6</v>
      </c>
    </row>
    <row r="18" customFormat="false" ht="15" hidden="false" customHeight="true" outlineLevel="0" collapsed="false">
      <c r="A18" s="11" t="s">
        <v>88</v>
      </c>
      <c r="B18" s="21" t="n">
        <v>0.8</v>
      </c>
    </row>
    <row r="19" customFormat="false" ht="15" hidden="false" customHeight="true" outlineLevel="0" collapsed="false">
      <c r="A19" s="11" t="s">
        <v>89</v>
      </c>
      <c r="B19" s="21" t="n">
        <v>0.7</v>
      </c>
    </row>
    <row r="20" customFormat="false" ht="15" hidden="false" customHeight="true" outlineLevel="0" collapsed="false">
      <c r="A20" s="11" t="s">
        <v>90</v>
      </c>
      <c r="B20" s="21" t="n">
        <v>0.1</v>
      </c>
    </row>
    <row r="21" customFormat="false" ht="15" hidden="false" customHeight="true" outlineLevel="0" collapsed="false">
      <c r="A21" s="11" t="s">
        <v>91</v>
      </c>
      <c r="B21" s="23" t="n">
        <v>600</v>
      </c>
    </row>
    <row r="22" customFormat="false" ht="15" hidden="false" customHeight="true" outlineLevel="0" collapsed="false"/>
    <row r="23" customFormat="false" ht="15" hidden="false" customHeight="true" outlineLevel="0" collapsed="false">
      <c r="A23" s="13" t="s">
        <v>92</v>
      </c>
      <c r="B23" s="28" t="n">
        <f aca="false">B7*B8</f>
        <v>70.6</v>
      </c>
    </row>
    <row r="24" customFormat="false" ht="15" hidden="false" customHeight="true" outlineLevel="0" collapsed="false">
      <c r="A24" s="13" t="s">
        <v>93</v>
      </c>
      <c r="B24" s="28" t="n">
        <f aca="false">B10*B11-B23-B14</f>
        <v>113.4</v>
      </c>
    </row>
    <row r="25" customFormat="false" ht="15" hidden="false" customHeight="true" outlineLevel="0" collapsed="false">
      <c r="A25" s="13" t="s">
        <v>94</v>
      </c>
      <c r="B25" s="14" t="n">
        <f aca="false">B24*1000000000/B9</f>
        <v>692138.671875</v>
      </c>
    </row>
    <row r="26" customFormat="false" ht="15" hidden="false" customHeight="true" outlineLevel="0" collapsed="false">
      <c r="A26" s="13" t="s">
        <v>95</v>
      </c>
      <c r="B26" s="14" t="n">
        <f aca="false">INT(B25/(B5+B6))</f>
        <v>157</v>
      </c>
    </row>
    <row r="27" customFormat="false" ht="15" hidden="false" customHeight="true" outlineLevel="0" collapsed="false">
      <c r="A27" s="13" t="s">
        <v>96</v>
      </c>
      <c r="B27" s="28" t="n">
        <f aca="false">B3*(B5+B6)*B9/1000000000</f>
        <v>36.0448</v>
      </c>
    </row>
    <row r="28" customFormat="false" ht="15" hidden="false" customHeight="true" outlineLevel="0" collapsed="false">
      <c r="A28" s="13" t="s">
        <v>97</v>
      </c>
      <c r="B28" s="28" t="n">
        <f aca="false">B23+B27</f>
        <v>106.6448</v>
      </c>
    </row>
    <row r="29" customFormat="false" ht="15" hidden="false" customHeight="true" outlineLevel="0" collapsed="false">
      <c r="A29" s="13" t="s">
        <v>98</v>
      </c>
      <c r="B29" s="29" t="n">
        <f aca="false">B10*B12/1000</f>
        <v>3.194</v>
      </c>
    </row>
    <row r="30" customFormat="false" ht="15" hidden="false" customHeight="true" outlineLevel="0" collapsed="false">
      <c r="A30" s="13" t="s">
        <v>99</v>
      </c>
      <c r="B30" s="28" t="n">
        <f aca="false">B28/B29</f>
        <v>33.3891045710708</v>
      </c>
    </row>
    <row r="31" customFormat="false" ht="15" hidden="false" customHeight="true" outlineLevel="0" collapsed="false">
      <c r="A31" s="13" t="s">
        <v>100</v>
      </c>
      <c r="B31" s="28" t="n">
        <f aca="false">1000/B30</f>
        <v>29.9498897273941</v>
      </c>
    </row>
    <row r="32" customFormat="false" ht="15" hidden="false" customHeight="true" outlineLevel="0" collapsed="false">
      <c r="A32" s="13" t="s">
        <v>101</v>
      </c>
      <c r="B32" s="14" t="n">
        <f aca="false">B31*B3</f>
        <v>1497.49448636971</v>
      </c>
    </row>
    <row r="33" customFormat="false" ht="15" hidden="false" customHeight="true" outlineLevel="0" collapsed="false">
      <c r="A33" s="13" t="s">
        <v>102</v>
      </c>
      <c r="B33" s="28" t="n">
        <f aca="false">B31*B17</f>
        <v>17.9699338364365</v>
      </c>
    </row>
    <row r="34" customFormat="false" ht="15" hidden="false" customHeight="true" outlineLevel="0" collapsed="false">
      <c r="A34" s="13" t="s">
        <v>103</v>
      </c>
      <c r="B34" s="28" t="n">
        <f aca="false">B31*B18</f>
        <v>23.9599117819153</v>
      </c>
    </row>
    <row r="35" customFormat="false" ht="15" hidden="false" customHeight="true" outlineLevel="0" collapsed="false">
      <c r="A35" s="13" t="s">
        <v>104</v>
      </c>
      <c r="B35" s="29" t="n">
        <f aca="false">B3*B4/60</f>
        <v>0.833333333333333</v>
      </c>
    </row>
    <row r="36" customFormat="false" ht="15" hidden="false" customHeight="true" outlineLevel="0" collapsed="false">
      <c r="A36" s="13" t="s">
        <v>105</v>
      </c>
      <c r="B36" s="14" t="n">
        <f aca="false">B35*B5*2*B7*1000000000/1000000000000</f>
        <v>470.666666666667</v>
      </c>
    </row>
    <row r="37" customFormat="false" ht="15" hidden="false" customHeight="true" outlineLevel="0" collapsed="false">
      <c r="A37" s="13" t="s">
        <v>106</v>
      </c>
      <c r="B37" s="30" t="n">
        <f aca="false">B36/B13</f>
        <v>0.588333333333333</v>
      </c>
    </row>
    <row r="38" customFormat="false" ht="15" hidden="false" customHeight="true" outlineLevel="0" collapsed="false">
      <c r="A38" s="13" t="s">
        <v>107</v>
      </c>
      <c r="B38" s="29" t="n">
        <f aca="false">B5*2*B7*1000000000/(B13*1000000000000)</f>
        <v>0.706</v>
      </c>
    </row>
    <row r="39" customFormat="false" ht="15" hidden="false" customHeight="true" outlineLevel="0" collapsed="false">
      <c r="A39" s="13" t="s">
        <v>108</v>
      </c>
      <c r="B39" s="13" t="str">
        <f aca="false">IF(B38&lt;=B16,"yes","no")</f>
        <v>yes</v>
      </c>
    </row>
    <row r="40" customFormat="false" ht="15" hidden="false" customHeight="true" outlineLevel="0" collapsed="false">
      <c r="A40" s="13" t="s">
        <v>109</v>
      </c>
      <c r="B40" s="28" t="n">
        <f aca="false">B35*(B38+B6*B30/1000)</f>
        <v>11.7180348570236</v>
      </c>
    </row>
    <row r="42" customFormat="false" ht="54" hidden="false" customHeight="true" outlineLevel="0" collapsed="false">
      <c r="A42" s="15" t="s">
        <v>110</v>
      </c>
      <c r="B42" s="15" t="s">
        <v>111</v>
      </c>
      <c r="C42" s="15" t="s">
        <v>112</v>
      </c>
      <c r="D42" s="15" t="s">
        <v>113</v>
      </c>
      <c r="E42" s="15" t="s">
        <v>114</v>
      </c>
      <c r="F42" s="15" t="s">
        <v>115</v>
      </c>
      <c r="G42" s="15" t="s">
        <v>116</v>
      </c>
    </row>
    <row r="43" customFormat="false" ht="15" hidden="false" customHeight="true" outlineLevel="0" collapsed="false">
      <c r="A43" s="27" t="n">
        <v>1</v>
      </c>
      <c r="B43" s="31" t="n">
        <f aca="false">ROUNDUP($B$3/A43,0)</f>
        <v>50</v>
      </c>
      <c r="C43" s="32" t="n">
        <f aca="false">$B$29*1000/($B$23+B43*($B$5+$B$6)*$B$9/1000000000)</f>
        <v>29.9498897273941</v>
      </c>
      <c r="D43" s="32" t="n">
        <f aca="false">C43*$B$19/(1+$B$20)</f>
        <v>19.0590207356144</v>
      </c>
      <c r="E43" s="11" t="str">
        <f aca="false">IF(ROUND(D43,0)&gt;=$B$15,"yes","no")</f>
        <v>no</v>
      </c>
      <c r="F43" s="32" t="n">
        <f aca="false">$B$40/A43</f>
        <v>11.7180348570236</v>
      </c>
      <c r="G43" s="32" t="n">
        <f aca="false">$B$29*1000/($B$23+F43*($B$5+$B$6)*$B$9/1000000000)*$B$19/(1+$B$20)</f>
        <v>25.7129682054512</v>
      </c>
    </row>
    <row r="44" customFormat="false" ht="15" hidden="false" customHeight="true" outlineLevel="0" collapsed="false">
      <c r="A44" s="27" t="n">
        <v>2</v>
      </c>
      <c r="B44" s="31" t="n">
        <f aca="false">ROUNDUP($B$3/A44,0)</f>
        <v>25</v>
      </c>
      <c r="C44" s="32" t="n">
        <f aca="false">$B$29*1000/($B$23+B44*($B$5+$B$6)*$B$9/1000000000)</f>
        <v>36.0405495676037</v>
      </c>
      <c r="D44" s="32" t="n">
        <f aca="false">C44*$B$19/(1+$B$20)</f>
        <v>22.9348951793842</v>
      </c>
      <c r="E44" s="11" t="str">
        <f aca="false">IF(ROUND(D44,0)&gt;=$B$15,"yes","no")</f>
        <v>no</v>
      </c>
      <c r="F44" s="32" t="n">
        <f aca="false">$B$40/A44</f>
        <v>5.85901742851179</v>
      </c>
      <c r="G44" s="32" t="n">
        <f aca="false">$B$29*1000/($B$23+F44*($B$5+$B$6)*$B$9/1000000000)*$B$19/(1+$B$20)</f>
        <v>27.1644453220214</v>
      </c>
    </row>
    <row r="45" customFormat="false" ht="15" hidden="false" customHeight="true" outlineLevel="0" collapsed="false">
      <c r="A45" s="27" t="n">
        <v>3</v>
      </c>
      <c r="B45" s="31" t="n">
        <f aca="false">ROUNDUP($B$3/A45,0)</f>
        <v>17</v>
      </c>
      <c r="C45" s="32" t="n">
        <f aca="false">$B$29*1000/($B$23+B45*($B$5+$B$6)*$B$9/1000000000)</f>
        <v>38.5491648855681</v>
      </c>
      <c r="D45" s="32" t="n">
        <f aca="false">C45*$B$19/(1+$B$20)</f>
        <v>24.5312867453615</v>
      </c>
      <c r="E45" s="11" t="str">
        <f aca="false">IF(ROUND(D45,0)&gt;=$B$15,"yes","no")</f>
        <v>yes</v>
      </c>
      <c r="F45" s="32" t="n">
        <f aca="false">$B$40/A45</f>
        <v>3.90601161900786</v>
      </c>
      <c r="G45" s="32" t="n">
        <f aca="false">$B$29*1000/($B$23+F45*($B$5+$B$6)*$B$9/1000000000)*$B$19/(1+$B$20)</f>
        <v>27.685384823755</v>
      </c>
    </row>
    <row r="46" customFormat="false" ht="15" hidden="false" customHeight="true" outlineLevel="0" collapsed="false">
      <c r="A46" s="27" t="n">
        <v>4</v>
      </c>
      <c r="B46" s="31" t="n">
        <f aca="false">ROUNDUP($B$3/A46,0)</f>
        <v>13</v>
      </c>
      <c r="C46" s="32" t="n">
        <f aca="false">$B$29*1000/($B$23+B46*($B$5+$B$6)*$B$9/1000000000)</f>
        <v>39.9391544363322</v>
      </c>
      <c r="D46" s="32" t="n">
        <f aca="false">C46*$B$19/(1+$B$20)</f>
        <v>25.4158255503932</v>
      </c>
      <c r="E46" s="11" t="str">
        <f aca="false">IF(ROUND(D46,0)&gt;=$B$15,"yes","no")</f>
        <v>yes</v>
      </c>
      <c r="F46" s="32" t="n">
        <f aca="false">$B$40/A46</f>
        <v>2.9295087142559</v>
      </c>
      <c r="G46" s="32" t="n">
        <f aca="false">$B$29*1000/($B$23+F46*($B$5+$B$6)*$B$9/1000000000)*$B$19/(1+$B$20)</f>
        <v>27.9534197566825</v>
      </c>
    </row>
    <row r="48" customFormat="false" ht="15" hidden="false" customHeight="true" outlineLevel="0" collapsed="false">
      <c r="A48" s="13" t="s">
        <v>117</v>
      </c>
      <c r="B48" s="33" t="n">
        <f aca="false">IFERROR(INDEX(A43:A46,MATCH("yes",E43:E46,0)),"more than 4")</f>
        <v>3</v>
      </c>
    </row>
    <row r="49" customFormat="false" ht="15" hidden="false" customHeight="true" outlineLevel="0" collapsed="false">
      <c r="A49" s="13" t="s">
        <v>118</v>
      </c>
      <c r="B49" s="33" t="n">
        <f aca="false">IF(ISNUMBER(B48),B48+1,"n/a")</f>
        <v>4</v>
      </c>
    </row>
    <row r="50" customFormat="false" ht="15" hidden="false" customHeight="true" outlineLevel="0" collapsed="false">
      <c r="A50" s="13" t="s">
        <v>119</v>
      </c>
      <c r="B50" s="33" t="n">
        <f aca="false">IF(ISNUMBER(B49),B49*B10,"n/a")</f>
        <v>8</v>
      </c>
    </row>
    <row r="51" customFormat="false" ht="15" hidden="false" customHeight="true" outlineLevel="0" collapsed="false">
      <c r="A51" s="13" t="s">
        <v>120</v>
      </c>
      <c r="B51" s="28" t="n">
        <f aca="false">IF(ISNUMBER(B50),B50*B21/1000,"n/a")</f>
        <v>4.8</v>
      </c>
    </row>
    <row r="53" customFormat="false" ht="15" hidden="false" customHeight="true" outlineLevel="0" collapsed="false">
      <c r="A53" s="19" t="s">
        <v>121</v>
      </c>
    </row>
    <row r="54" customFormat="false" ht="15" hidden="false" customHeight="true" outlineLevel="0" collapsed="false">
      <c r="A54" s="19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</cols>
  <sheetData>
    <row r="1" customFormat="false" ht="15.75" hidden="false" customHeight="true" outlineLevel="0" collapsed="false">
      <c r="A1" s="10" t="s">
        <v>123</v>
      </c>
    </row>
    <row r="3" customFormat="false" ht="15" hidden="false" customHeight="true" outlineLevel="0" collapsed="false">
      <c r="A3" s="11" t="s">
        <v>119</v>
      </c>
      <c r="B3" s="27" t="n">
        <v>8</v>
      </c>
    </row>
    <row r="4" customFormat="false" ht="15" hidden="false" customHeight="true" outlineLevel="0" collapsed="false">
      <c r="A4" s="11" t="s">
        <v>91</v>
      </c>
      <c r="B4" s="23" t="n">
        <v>600</v>
      </c>
    </row>
    <row r="5" customFormat="false" ht="15" hidden="false" customHeight="true" outlineLevel="0" collapsed="false">
      <c r="A5" s="11" t="s">
        <v>124</v>
      </c>
      <c r="B5" s="23" t="n">
        <v>1500</v>
      </c>
    </row>
    <row r="6" customFormat="false" ht="15" hidden="false" customHeight="true" outlineLevel="0" collapsed="false">
      <c r="A6" s="11" t="s">
        <v>125</v>
      </c>
      <c r="B6" s="21" t="n">
        <v>0.5</v>
      </c>
    </row>
    <row r="7" customFormat="false" ht="15" hidden="false" customHeight="true" outlineLevel="0" collapsed="false">
      <c r="A7" s="11" t="s">
        <v>126</v>
      </c>
      <c r="B7" s="26" t="n">
        <v>1.4</v>
      </c>
    </row>
    <row r="8" customFormat="false" ht="15" hidden="false" customHeight="true" outlineLevel="0" collapsed="false">
      <c r="A8" s="11" t="s">
        <v>127</v>
      </c>
      <c r="B8" s="26" t="n">
        <v>0.15</v>
      </c>
    </row>
    <row r="9" customFormat="false" ht="15" hidden="false" customHeight="true" outlineLevel="0" collapsed="false">
      <c r="A9" s="11" t="s">
        <v>128</v>
      </c>
      <c r="B9" s="23" t="n">
        <v>3000</v>
      </c>
    </row>
    <row r="10" customFormat="false" ht="15" hidden="false" customHeight="true" outlineLevel="0" collapsed="false">
      <c r="A10" s="11" t="s">
        <v>129</v>
      </c>
      <c r="B10" s="23" t="n">
        <v>2500</v>
      </c>
    </row>
    <row r="12" customFormat="false" ht="15" hidden="false" customHeight="true" outlineLevel="0" collapsed="false">
      <c r="A12" s="13" t="s">
        <v>130</v>
      </c>
      <c r="B12" s="28" t="n">
        <f aca="false">B3*B4/1000</f>
        <v>4.8</v>
      </c>
    </row>
    <row r="13" customFormat="false" ht="15" hidden="false" customHeight="true" outlineLevel="0" collapsed="false">
      <c r="A13" s="13" t="s">
        <v>131</v>
      </c>
      <c r="B13" s="28" t="n">
        <f aca="false">(B3*B4+B5)/1000</f>
        <v>6.3</v>
      </c>
    </row>
    <row r="14" customFormat="false" ht="15" hidden="false" customHeight="true" outlineLevel="0" collapsed="false">
      <c r="A14" s="13" t="s">
        <v>132</v>
      </c>
      <c r="B14" s="29" t="n">
        <f aca="false">B13*B6</f>
        <v>3.15</v>
      </c>
    </row>
    <row r="15" customFormat="false" ht="15" hidden="false" customHeight="true" outlineLevel="0" collapsed="false">
      <c r="A15" s="13" t="s">
        <v>133</v>
      </c>
      <c r="B15" s="14" t="n">
        <f aca="false">B14*8760</f>
        <v>27594</v>
      </c>
    </row>
    <row r="16" customFormat="false" ht="15" hidden="false" customHeight="true" outlineLevel="0" collapsed="false">
      <c r="A16" s="13" t="s">
        <v>134</v>
      </c>
      <c r="B16" s="14" t="n">
        <f aca="false">B15*B7</f>
        <v>38631.6</v>
      </c>
    </row>
    <row r="17" customFormat="false" ht="15" hidden="false" customHeight="true" outlineLevel="0" collapsed="false">
      <c r="A17" s="13" t="s">
        <v>135</v>
      </c>
      <c r="B17" s="14" t="n">
        <f aca="false">B16*B8</f>
        <v>5794.74</v>
      </c>
    </row>
    <row r="18" customFormat="false" ht="15" hidden="false" customHeight="true" outlineLevel="0" collapsed="false">
      <c r="A18" s="13" t="s">
        <v>136</v>
      </c>
      <c r="B18" s="34" t="n">
        <f aca="false">B9*B10*3600/1000000000</f>
        <v>27</v>
      </c>
    </row>
    <row r="19" customFormat="false" ht="15" hidden="false" customHeight="true" outlineLevel="0" collapsed="false">
      <c r="A19" s="13" t="s">
        <v>137</v>
      </c>
      <c r="B19" s="29" t="n">
        <f aca="false">B17/(B18*1000)</f>
        <v>0.21462</v>
      </c>
    </row>
    <row r="21" customFormat="false" ht="15" hidden="false" customHeight="true" outlineLevel="0" collapsed="false">
      <c r="A21" s="19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2026-10-02T15:22:43Z</dcterms:created>
  <dc:creator>Leonhard Korowajczuk</dc:creator>
  <dc:description/>
  <dc:language>en-US</dc:language>
  <cp:lastModifiedBy>Leonhard Korowajczuk</cp:lastModifiedBy>
  <dcterms:modified xsi:type="dcterms:W3CDTF">2026-10-20T17:46:35Z</dcterms:modified>
  <cp:revision>0</cp:revision>
  <dc:subject/>
  <dc:title>Hardware for LLMs — companion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